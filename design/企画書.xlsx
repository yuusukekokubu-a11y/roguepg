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ランの流れ" sheetId="2" state="visible" r:id="rId4"/>
    <sheet name="マップ" sheetId="3" state="visible" r:id="rId5"/>
    <sheet name="層" sheetId="4" state="visible" r:id="rId6"/>
    <sheet name="敵" sheetId="5" state="visible" r:id="rId7"/>
    <sheet name="戦闘ルール" sheetId="6" state="visible" r:id="rId8"/>
    <sheet name="職業" sheetId="7" state="visible" r:id="rId9"/>
    <sheet name="方向性" sheetId="8" state="visible" r:id="rId10"/>
    <sheet name="スキルブック" sheetId="9" state="visible" r:id="rId11"/>
    <sheet name="部品" sheetId="10" state="visible" r:id="rId12"/>
    <sheet name="状態異常" sheetId="11" state="visible" r:id="rId13"/>
    <sheet name="アクセサリー" sheetId="12" state="visible" r:id="rId14"/>
    <sheet name="アクセサリー部品" sheetId="13" state="visible" r:id="rId15"/>
    <sheet name="アイテム" sheetId="14" state="visible" r:id="rId16"/>
    <sheet name="面白さのポイント" sheetId="15" state="visible" r:id="rId17"/>
    <sheet name="用語集" sheetId="16" state="visible" r:id="rId18"/>
  </sheets>
  <definedNames>
    <definedName function="false" hidden="true" localSheetId="13" name="_xlnm._FilterDatabase" vbProcedure="false">アイテム!$A$4:$F$29</definedName>
    <definedName function="false" hidden="true" localSheetId="11" name="_xlnm._FilterDatabase" vbProcedure="false">アクセサリー!$A$4:$F$70</definedName>
    <definedName function="false" hidden="true" localSheetId="8" name="_xlnm._FilterDatabase" vbProcedure="false">スキルブック!$A$4:$H$214</definedName>
    <definedName function="false" hidden="true" localSheetId="4" name="_xlnm._FilterDatabase" vbProcedure="false">敵!$A$4:$G$40</definedName>
    <definedName function="false" hidden="true" localSheetId="7" name="_xlnm._FilterDatabase" vbProcedure="false">方向性!$A$4:$D$46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<sst xmlns="http://schemas.openxmlformats.org/spreadsheetml/2006/main" count="3351" uniqueCount="1254">
  <si>
    <t xml:space="preserve">企画まとめ：コマンドRPG×ローグライク</t>
  </si>
  <si>
    <t xml:space="preserve">最終更新：2026-10-08　／　状態の色：白＝決定、緑＝仮案（あとで変えてもOK）、黄＝保留（試作で調整）</t>
  </si>
  <si>
    <t xml:space="preserve">分類</t>
  </si>
  <si>
    <t xml:space="preserve">内容</t>
  </si>
  <si>
    <t xml:space="preserve">補足</t>
  </si>
  <si>
    <t xml:space="preserve">状態</t>
  </si>
  <si>
    <t xml:space="preserve">コンセプト</t>
  </si>
  <si>
    <t xml:space="preserve">その場の出会いと拾い物で、毎回ちがうパーティーを組み上げる</t>
  </si>
  <si>
    <t xml:space="preserve">仲間の組み合わせや装備を考える楽しさ（ビルド）が中心</t>
  </si>
  <si>
    <t xml:space="preserve">決定</t>
  </si>
  <si>
    <t xml:space="preserve">基本構成</t>
  </si>
  <si>
    <t xml:space="preserve">全4層のダンジョンを攻略する</t>
  </si>
  <si>
    <t xml:space="preserve">死んだら最初からやり直し</t>
  </si>
  <si>
    <t xml:space="preserve">ラン外の要素はなし（純粋なローグライク）</t>
  </si>
  <si>
    <t xml:space="preserve">アンロックや永続強化はない。腕前だけが成長する</t>
  </si>
  <si>
    <t xml:space="preserve">戦闘はコマンド選択式</t>
  </si>
  <si>
    <t xml:space="preserve">マップ</t>
  </si>
  <si>
    <r>
      <rPr>
        <sz val="11"/>
        <rFont val="Meiryo"/>
        <family val="0"/>
        <charset val="1"/>
      </rPr>
      <t xml:space="preserve">Slay the Spire</t>
    </r>
    <r>
      <rPr>
        <sz val="11"/>
        <rFont val="Noto Sans CJK SC"/>
        <family val="2"/>
      </rPr>
      <t xml:space="preserve">方式の分かれ道マップ</t>
    </r>
  </si>
  <si>
    <t xml:space="preserve">ルートを選んで進む。詳細は「マップ」シート</t>
  </si>
  <si>
    <t xml:space="preserve">戦闘は避けられるが、戦えば強くなる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</si>
  <si>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持ち越しと合わせて、ルート選びが戦略になる</t>
    </r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</si>
  <si>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層あたりのマス数、ショップ・休憩所の出現頻度</t>
    </r>
  </si>
  <si>
    <t xml:space="preserve">保留</t>
  </si>
  <si>
    <t xml:space="preserve">主人公</t>
  </si>
  <si>
    <t xml:space="preserve">ランの最初に職業を選べる（14職業すべてから）</t>
  </si>
  <si>
    <t xml:space="preserve">主人公補正（特別な強さ）はなし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</si>
  <si>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層（草原）の敵の強さで、ソロでも戦えるように調整する</t>
    </r>
  </si>
  <si>
    <t xml:space="preserve">仲間</t>
  </si>
  <si>
    <t xml:space="preserve">層クリア時に3人の候補から1人を選ぶ</t>
  </si>
  <si>
    <t xml:space="preserve">職業のかぶりあり</t>
  </si>
  <si>
    <t xml:space="preserve">同じ職業を複数入れられる</t>
  </si>
  <si>
    <t xml:space="preserve">主人公と同じレベルで加入</t>
  </si>
  <si>
    <t xml:space="preserve">職業</t>
  </si>
  <si>
    <r>
      <rPr>
        <sz val="11"/>
        <rFont val="Meiryo"/>
        <family val="0"/>
        <charset val="1"/>
      </rPr>
      <t xml:space="preserve">14</t>
    </r>
    <r>
      <rPr>
        <sz val="11"/>
        <rFont val="Noto Sans CJK SC"/>
        <family val="2"/>
      </rPr>
      <t xml:space="preserve">職業・</t>
    </r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系統。全職業が最初から登場</t>
    </r>
  </si>
  <si>
    <t xml:space="preserve">詳細は「職業」シート</t>
  </si>
  <si>
    <t xml:space="preserve">職業の個性はステータスの違い＋スキルブックで出す</t>
  </si>
  <si>
    <t xml:space="preserve">パッシブ（常に発動する固有能力）はなし</t>
  </si>
  <si>
    <t xml:space="preserve">ステータス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</si>
  <si>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・攻撃力・防御力・魔力・精神・素早さの</t>
    </r>
    <r>
      <rPr>
        <sz val="11"/>
        <rFont val="Meiryo"/>
        <family val="0"/>
        <charset val="1"/>
      </rPr>
      <t xml:space="preserve">7</t>
    </r>
    <r>
      <rPr>
        <sz val="11"/>
        <rFont val="Noto Sans CJK SC"/>
        <family val="2"/>
      </rPr>
      <t xml:space="preserve">項目</t>
    </r>
  </si>
  <si>
    <t xml:space="preserve">具体的な数値は試作で調整</t>
  </si>
  <si>
    <t xml:space="preserve">スキルブック</t>
  </si>
  <si>
    <t xml:space="preserve">職業ごとに使える本が決まっている</t>
  </si>
  <si>
    <t xml:space="preserve">各職業の本の中に、出にくい強力なレア本がある</t>
  </si>
  <si>
    <t xml:space="preserve">成長</t>
  </si>
  <si>
    <t xml:space="preserve">レベルアップあり（戦闘で経験値を得る）</t>
  </si>
  <si>
    <t xml:space="preserve">スキル枠はレベルで増える</t>
  </si>
  <si>
    <t xml:space="preserve">最初の枠数・最大枠数は試作で調整</t>
  </si>
  <si>
    <t xml:space="preserve">忘れたスキルは戻らない</t>
  </si>
  <si>
    <t xml:space="preserve">仮案</t>
  </si>
  <si>
    <t xml:space="preserve">装備</t>
  </si>
  <si>
    <t xml:space="preserve">装備枠：武器・防具・アクセサリー×2</t>
  </si>
  <si>
    <t xml:space="preserve">武器・防具＝性能、アクセサリー＝戦い方を変える性質</t>
  </si>
  <si>
    <t xml:space="preserve">武器・防具は系統ごとに制限、アクセサリーは誰でも装備可</t>
  </si>
  <si>
    <t xml:space="preserve">入手物</t>
  </si>
  <si>
    <t xml:space="preserve">装備・スキルブック・アイテム</t>
  </si>
  <si>
    <t xml:space="preserve">持ち物には上限あり</t>
  </si>
  <si>
    <t xml:space="preserve">上限の数は試作で調整</t>
  </si>
  <si>
    <t xml:space="preserve">ショップ</t>
  </si>
  <si>
    <t xml:space="preserve">定期的に登場し、本・装備・アイテムを売り買いできる</t>
  </si>
  <si>
    <t xml:space="preserve">使えない本を売り、合う本を買える</t>
  </si>
  <si>
    <t xml:space="preserve">パーティーにいる職業の本が出やすくする</t>
  </si>
  <si>
    <t xml:space="preserve">お金</t>
  </si>
  <si>
    <t xml:space="preserve">お金のシステムあり</t>
  </si>
  <si>
    <t xml:space="preserve">稼ぎ方・物価のバランスは試作で調整</t>
  </si>
  <si>
    <t xml:space="preserve">戦闘</t>
  </si>
  <si>
    <t xml:space="preserve">詳細は「戦闘ルール」シート</t>
  </si>
  <si>
    <t xml:space="preserve">ボス</t>
  </si>
  <si>
    <t xml:space="preserve">各層のボスの調整</t>
  </si>
  <si>
    <t xml:space="preserve">すべて「部品」の組み合わせで作る（データ駆動）</t>
  </si>
  <si>
    <t xml:space="preserve">詳細は「部品」シート</t>
  </si>
  <si>
    <t xml:space="preserve">各職業にビルドの方向性を3つ用意し、方向性ごとに本を揃える</t>
  </si>
  <si>
    <t xml:space="preserve">詳細は「方向性」シート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</si>
  <si>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職業</t>
    </r>
    <r>
      <rPr>
        <sz val="11"/>
        <rFont val="Meiryo"/>
        <family val="0"/>
        <charset val="1"/>
      </rPr>
      <t xml:space="preserve">15</t>
    </r>
    <r>
      <rPr>
        <sz val="11"/>
        <rFont val="Noto Sans CJK SC"/>
        <family val="2"/>
      </rPr>
      <t xml:space="preserve">冊（各方向性</t>
    </r>
    <r>
      <rPr>
        <sz val="11"/>
        <rFont val="Meiryo"/>
        <family val="0"/>
        <charset val="1"/>
      </rPr>
      <t xml:space="preserve">5</t>
    </r>
    <r>
      <rPr>
        <sz val="11"/>
        <rFont val="Noto Sans CJK SC"/>
        <family val="2"/>
      </rPr>
      <t xml:space="preserve">冊、うちレア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冊）、全</t>
    </r>
    <r>
      <rPr>
        <sz val="11"/>
        <rFont val="Meiryo"/>
        <family val="0"/>
        <charset val="1"/>
      </rPr>
      <t xml:space="preserve">210</t>
    </r>
    <r>
      <rPr>
        <sz val="11"/>
        <rFont val="Noto Sans CJK SC"/>
        <family val="2"/>
      </rPr>
      <t xml:space="preserve">冊</t>
    </r>
  </si>
  <si>
    <t xml:space="preserve">叩き台。詳細は「スキルブック」シート</t>
  </si>
  <si>
    <t xml:space="preserve">召喚士は「数ターン場に残る効果」で召喚を表現</t>
  </si>
  <si>
    <t xml:space="preserve">キャラを呼び出す仕組みは作らない</t>
  </si>
  <si>
    <t xml:space="preserve">錬金術師は爆薬・薬・劇薬で戦う職業に</t>
  </si>
  <si>
    <t xml:space="preserve">アイテムの仕組みに手を入れる本はなし</t>
  </si>
  <si>
    <t xml:space="preserve">状態異常</t>
  </si>
  <si>
    <t xml:space="preserve">毒・やけど・混乱・スタンの4種</t>
  </si>
  <si>
    <t xml:space="preserve">詳細は「状態異常」シート</t>
  </si>
  <si>
    <t xml:space="preserve">アクセサリー</t>
  </si>
  <si>
    <t xml:space="preserve">戦い方を変える効果＋デメリットで、付けるか悩ませる</t>
  </si>
  <si>
    <t xml:space="preserve">詳細は「アクセサリー」シート</t>
  </si>
  <si>
    <t xml:space="preserve">全66種（うちレア9種）の叩き台</t>
  </si>
  <si>
    <t xml:space="preserve">アイテム</t>
  </si>
  <si>
    <r>
      <rPr>
        <sz val="11"/>
        <rFont val="Noto Sans CJK SC"/>
        <family val="2"/>
      </rPr>
      <t xml:space="preserve">全</t>
    </r>
    <r>
      <rPr>
        <sz val="11"/>
        <rFont val="Meiryo"/>
        <family val="0"/>
        <charset val="1"/>
      </rPr>
      <t xml:space="preserve">25</t>
    </r>
    <r>
      <rPr>
        <sz val="11"/>
        <rFont val="Noto Sans CJK SC"/>
        <family val="2"/>
      </rPr>
      <t xml:space="preserve">種の叩き台（回復・蘇生・状態異常・戦闘用・強化など）</t>
    </r>
  </si>
  <si>
    <t xml:space="preserve">詳細は「アイテム」シート</t>
  </si>
  <si>
    <t xml:space="preserve">「煙玉」で通常戦闘から逃げられる（強敵・ボスは不可）</t>
  </si>
  <si>
    <t xml:space="preserve">持ち物</t>
  </si>
  <si>
    <t xml:space="preserve">上限にアイテム・本・装備を全部まとめて数えるか、種類ごとに分けるか</t>
  </si>
  <si>
    <t xml:space="preserve">層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</si>
  <si>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層：草原、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層：氷雪地帯、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層：火山、</t>
    </r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層：魔王の城</t>
    </r>
  </si>
  <si>
    <t xml:space="preserve">詳細は「層」シート</t>
  </si>
  <si>
    <t xml:space="preserve">敵</t>
  </si>
  <si>
    <r>
      <rPr>
        <sz val="11"/>
        <rFont val="Noto Sans CJK SC"/>
        <family val="2"/>
      </rPr>
      <t xml:space="preserve">各層：通常</t>
    </r>
    <r>
      <rPr>
        <sz val="11"/>
        <rFont val="Meiryo"/>
        <family val="0"/>
        <charset val="1"/>
      </rPr>
      <t xml:space="preserve">6</t>
    </r>
    <r>
      <rPr>
        <sz val="11"/>
        <rFont val="Noto Sans CJK SC"/>
        <family val="2"/>
      </rPr>
      <t xml:space="preserve">・強敵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・ボス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、全</t>
    </r>
    <r>
      <rPr>
        <sz val="11"/>
        <rFont val="Meiryo"/>
        <family val="0"/>
        <charset val="1"/>
      </rPr>
      <t xml:space="preserve">36</t>
    </r>
    <r>
      <rPr>
        <sz val="11"/>
        <rFont val="Noto Sans CJK SC"/>
        <family val="2"/>
      </rPr>
      <t xml:space="preserve">体の叩き台</t>
    </r>
  </si>
  <si>
    <t xml:space="preserve">詳細は「敵」シート</t>
  </si>
  <si>
    <t xml:space="preserve">状態異常には「無効」「弱点（効きやすい・ダメージ大）」を設定する</t>
  </si>
  <si>
    <t xml:space="preserve">属性（炎・氷など）の仕組みは作らない</t>
  </si>
  <si>
    <t xml:space="preserve">ランの流れ</t>
  </si>
  <si>
    <t xml:space="preserve">ラン＝1回の挑戦（スタートから死亡 or クリアまで）</t>
  </si>
  <si>
    <t xml:space="preserve">パーティー人数</t>
  </si>
  <si>
    <t xml:space="preserve">起きること</t>
  </si>
  <si>
    <t xml:space="preserve">開始時</t>
  </si>
  <si>
    <t xml:space="preserve">—</t>
  </si>
  <si>
    <t xml:space="preserve">主人公の職業を選ぶ（14職業から）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</si>
  <si>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層</t>
    </r>
  </si>
  <si>
    <t xml:space="preserve">ボス撃破で：仲間1人加入（3択）＋全回復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</si>
  <si>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層</t>
    </r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</si>
  <si>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層</t>
    </r>
  </si>
  <si>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層</t>
    </r>
  </si>
  <si>
    <t xml:space="preserve">ボス撃破で：クリア</t>
  </si>
  <si>
    <t xml:space="preserve">全滅時</t>
  </si>
  <si>
    <t xml:space="preserve">ゲームオーバー。何も引き継がず最初から</t>
  </si>
  <si>
    <t xml:space="preserve">マップのマスの種類</t>
  </si>
  <si>
    <t xml:space="preserve">マス（ノード）＝マップ上の地点。各層でスタートからボスまでルートを選んで進む</t>
  </si>
  <si>
    <t xml:space="preserve">マス</t>
  </si>
  <si>
    <t xml:space="preserve">報酬</t>
  </si>
  <si>
    <t xml:space="preserve">通常の敵</t>
  </si>
  <si>
    <t xml:space="preserve">経験値・お金</t>
  </si>
  <si>
    <t xml:space="preserve">強敵（エリート）</t>
  </si>
  <si>
    <t xml:space="preserve">普通の敵より強い</t>
  </si>
  <si>
    <t xml:space="preserve">豪華な報酬（レア本や良い装備が出やすい）</t>
  </si>
  <si>
    <t xml:space="preserve">休憩所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</si>
  <si>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回復、戦闘不能の仲間の復活</t>
    </r>
  </si>
  <si>
    <t xml:space="preserve">本・装備・アイテムの売り買い</t>
  </si>
  <si>
    <t xml:space="preserve">宝箱</t>
  </si>
  <si>
    <t xml:space="preserve">アイテムが手に入る</t>
  </si>
  <si>
    <t xml:space="preserve">イベント</t>
  </si>
  <si>
    <t xml:space="preserve">選択肢つきの出来事。良いことも悪いことも起きる</t>
  </si>
  <si>
    <t xml:space="preserve">さまざま</t>
  </si>
  <si>
    <t xml:space="preserve">層の最後の敵</t>
  </si>
  <si>
    <t xml:space="preserve">仲間加入＋全回復（4層はクリア）</t>
  </si>
  <si>
    <t xml:space="preserve">層ごとの設定</t>
  </si>
  <si>
    <t xml:space="preserve">層ごとに有利なビルドが変わるように設計</t>
  </si>
  <si>
    <t xml:space="preserve">場所</t>
  </si>
  <si>
    <t xml:space="preserve">特徴</t>
  </si>
  <si>
    <t xml:space="preserve">この層の役割</t>
  </si>
  <si>
    <t xml:space="preserve">有利なビルド</t>
  </si>
  <si>
    <t xml:space="preserve">草原</t>
  </si>
  <si>
    <t xml:space="preserve">チュートリアル（操作に慣れる層）。単純な敵が多く、群れで出てくる</t>
  </si>
  <si>
    <t xml:space="preserve">主人公ソロなので、敵は弱めに調整する（主人公補正の代わり）</t>
  </si>
  <si>
    <r>
      <rPr>
        <sz val="11"/>
        <rFont val="Noto Sans CJK SC"/>
        <family val="2"/>
      </rPr>
      <t xml:space="preserve">全体攻撃・自己強化・吸収など、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人で戦えるビルド</t>
    </r>
  </si>
  <si>
    <t xml:space="preserve">草原の主（大角獣）</t>
  </si>
  <si>
    <t xml:space="preserve">氷雪地帯</t>
  </si>
  <si>
    <t xml:space="preserve">敵が素早さダウンを多用し、こちらの行動回数を減らしてくる。氷の敵はやけどに弱い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</si>
  <si>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人目が加入。役割分担を覚える</t>
    </r>
  </si>
  <si>
    <t xml:space="preserve">素早さ対策（疾風の歌・先駆けの羽）、やけど（火炎・炎の指輪）</t>
  </si>
  <si>
    <t xml:space="preserve">氷の女王</t>
  </si>
  <si>
    <t xml:space="preserve">火山</t>
  </si>
  <si>
    <t xml:space="preserve">敵がやけどを多用し、炎の敵はやけどが効かない。硬い敵や反撃してくる敵が多い</t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</si>
  <si>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人目が加入。隊列と守りが重要に</t>
    </r>
  </si>
  <si>
    <t xml:space="preserve">状態異常を治す・防ぐ、魔法攻撃（硬い敵用）、かばう・軽減</t>
  </si>
  <si>
    <t xml:space="preserve">炎竜</t>
  </si>
  <si>
    <t xml:space="preserve">魔王の城</t>
  </si>
  <si>
    <t xml:space="preserve">敵がこちらの強化を打ち消し、状態異常が効きにくい敵が増える。総合力が問われる</t>
  </si>
  <si>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人のフルパーティー。ビルドの完成度が試される</t>
    </r>
  </si>
  <si>
    <t xml:space="preserve">バランスの取れたパーティー、強化に頼りすぎないビルド</t>
  </si>
  <si>
    <t xml:space="preserve">魔王</t>
  </si>
  <si>
    <t xml:space="preserve">敵一覧（叩き台）</t>
  </si>
  <si>
    <r>
      <rPr>
        <sz val="9"/>
        <color rgb="FF666666"/>
        <rFont val="Noto Sans CJK SC"/>
        <family val="2"/>
      </rPr>
      <t xml:space="preserve">各層：通常</t>
    </r>
    <r>
      <rPr>
        <sz val="9"/>
        <color rgb="FF666666"/>
        <rFont val="Meiryo"/>
        <family val="0"/>
        <charset val="1"/>
      </rPr>
      <t xml:space="preserve">6</t>
    </r>
    <r>
      <rPr>
        <sz val="9"/>
        <color rgb="FF666666"/>
        <rFont val="Noto Sans CJK SC"/>
        <family val="2"/>
      </rPr>
      <t xml:space="preserve">・強敵</t>
    </r>
    <r>
      <rPr>
        <sz val="9"/>
        <color rgb="FF666666"/>
        <rFont val="Meiryo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・ボス</t>
    </r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。強敵＝オレンジ、ボス＝赤。敵の技も「部品」の組み合わせで作る。数値は試作で調整</t>
    </r>
  </si>
  <si>
    <t xml:space="preserve">種類</t>
  </si>
  <si>
    <t xml:space="preserve">名前</t>
  </si>
  <si>
    <t xml:space="preserve">主な行動</t>
  </si>
  <si>
    <t xml:space="preserve">耐性・弱点</t>
  </si>
  <si>
    <t xml:space="preserve">有効な対策</t>
  </si>
  <si>
    <t xml:space="preserve">通常</t>
  </si>
  <si>
    <t xml:space="preserve">スライム</t>
  </si>
  <si>
    <r>
      <rPr>
        <sz val="11"/>
        <rFont val="Noto Sans CJK SC"/>
        <family val="2"/>
      </rPr>
      <t xml:space="preserve">弱いが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体の群れで出る</t>
    </r>
  </si>
  <si>
    <t xml:space="preserve">体当たり</t>
  </si>
  <si>
    <t xml:space="preserve">全体攻撃</t>
  </si>
  <si>
    <t xml:space="preserve">野ウサギ</t>
  </si>
  <si>
    <t xml:space="preserve">素早く、先に動いてくる</t>
  </si>
  <si>
    <t xml:space="preserve">かみつき</t>
  </si>
  <si>
    <t xml:space="preserve">大ガラス</t>
  </si>
  <si>
    <t xml:space="preserve">ランダムな相手を何度もつつく</t>
  </si>
  <si>
    <r>
      <rPr>
        <sz val="11"/>
        <rFont val="Noto Sans CJK SC"/>
        <family val="2"/>
      </rPr>
      <t xml:space="preserve">つつく（ランダム</t>
    </r>
    <r>
      <rPr>
        <sz val="11"/>
        <rFont val="Meiryo"/>
        <family val="0"/>
        <charset val="1"/>
      </rPr>
      <t xml:space="preserve">×2</t>
    </r>
    <r>
      <rPr>
        <sz val="11"/>
        <rFont val="Noto Sans CJK SC"/>
        <family val="2"/>
      </rPr>
      <t xml:space="preserve">回）</t>
    </r>
  </si>
  <si>
    <t xml:space="preserve">防御アップ</t>
  </si>
  <si>
    <t xml:space="preserve">毒キノコ</t>
  </si>
  <si>
    <t xml:space="preserve">攻撃に毒がつく</t>
  </si>
  <si>
    <t xml:space="preserve">毒の胞子（毒）</t>
  </si>
  <si>
    <t xml:space="preserve">毒無効</t>
  </si>
  <si>
    <t xml:space="preserve">毒消し・浄化</t>
  </si>
  <si>
    <t xml:space="preserve">草原オオカミ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</si>
  <si>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体の群れ。仲間が倒れると攻撃力アップ</t>
    </r>
  </si>
  <si>
    <t xml:space="preserve">全体攻撃でまとめて倒す</t>
  </si>
  <si>
    <t xml:space="preserve">野盗</t>
  </si>
  <si>
    <t xml:space="preserve">お金を盗む（倒すと取り返せる）</t>
  </si>
  <si>
    <t xml:space="preserve">盗む</t>
  </si>
  <si>
    <t xml:space="preserve">早めに倒す</t>
  </si>
  <si>
    <t xml:space="preserve">強敵</t>
  </si>
  <si>
    <t xml:space="preserve">森の大熊</t>
  </si>
  <si>
    <r>
      <rPr>
        <sz val="11"/>
        <rFont val="Noto Sans CJK SC"/>
        <family val="2"/>
      </rPr>
      <t xml:space="preserve">攻撃力が高い。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が半分以下になると怒って攻撃力アップ</t>
    </r>
  </si>
  <si>
    <t xml:space="preserve">強打／怒りの咆哮</t>
  </si>
  <si>
    <t xml:space="preserve">吸収・回復で粘る</t>
  </si>
  <si>
    <t xml:space="preserve">野盗の用心棒</t>
  </si>
  <si>
    <t xml:space="preserve">挑発して自分を狙わせ、攻撃されると反撃する</t>
  </si>
  <si>
    <t xml:space="preserve">挑発／反撃の構え</t>
  </si>
  <si>
    <t xml:space="preserve">魔法攻撃・状態異常</t>
  </si>
  <si>
    <t xml:space="preserve">溜めてから突進する大技を使う。溜め中は行動順の表示で分かる</t>
  </si>
  <si>
    <t xml:space="preserve">角突き／溜め→大突進</t>
  </si>
  <si>
    <t xml:space="preserve">溜め中に防御・回避で受ける（行動順を読む練習）</t>
  </si>
  <si>
    <t xml:space="preserve">雪ウサギ</t>
  </si>
  <si>
    <t xml:space="preserve">素早く、回避が高い</t>
  </si>
  <si>
    <t xml:space="preserve">必中・全体攻撃</t>
  </si>
  <si>
    <t xml:space="preserve">氷の精</t>
  </si>
  <si>
    <t xml:space="preserve">魔法で素早さを下げてくる</t>
  </si>
  <si>
    <t xml:space="preserve">氷の吐息（素早さダウン）</t>
  </si>
  <si>
    <t xml:space="preserve">やけど弱点</t>
  </si>
  <si>
    <t xml:space="preserve">火炎・炎の指輪</t>
  </si>
  <si>
    <t xml:space="preserve">雪狼</t>
  </si>
  <si>
    <t xml:space="preserve">群れで出て、前列を集中して狙う</t>
  </si>
  <si>
    <t xml:space="preserve">かみつき（前列）</t>
  </si>
  <si>
    <t xml:space="preserve">騎士の守り・前列の防御</t>
  </si>
  <si>
    <t xml:space="preserve">凍った亡者</t>
  </si>
  <si>
    <r>
      <rPr>
        <sz val="11"/>
        <rFont val="Noto Sans CJK SC"/>
        <family val="2"/>
      </rPr>
      <t xml:space="preserve">アンデッド。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が高い</t>
    </r>
  </si>
  <si>
    <t xml:space="preserve">凍える手（素早さダウン）</t>
  </si>
  <si>
    <t xml:space="preserve">毒無効・やけど弱点</t>
  </si>
  <si>
    <t xml:space="preserve">やけど・物理の大技</t>
  </si>
  <si>
    <t xml:space="preserve">氷柱コウモリ</t>
  </si>
  <si>
    <t xml:space="preserve">ランダムな相手を何度も攻撃</t>
  </si>
  <si>
    <r>
      <rPr>
        <sz val="11"/>
        <rFont val="Noto Sans CJK SC"/>
        <family val="2"/>
      </rPr>
      <t xml:space="preserve">氷柱落とし（ランダム</t>
    </r>
    <r>
      <rPr>
        <sz val="11"/>
        <rFont val="Meiryo"/>
        <family val="0"/>
        <charset val="1"/>
      </rPr>
      <t xml:space="preserve">×3</t>
    </r>
    <r>
      <rPr>
        <sz val="11"/>
        <rFont val="Noto Sans CJK SC"/>
        <family val="2"/>
      </rPr>
      <t xml:space="preserve">回）</t>
    </r>
  </si>
  <si>
    <t xml:space="preserve">雪原の小鬼</t>
  </si>
  <si>
    <t xml:space="preserve">防御が高い</t>
  </si>
  <si>
    <t xml:space="preserve">こん棒</t>
  </si>
  <si>
    <t xml:space="preserve">魔法攻撃・防御ダウン</t>
  </si>
  <si>
    <t xml:space="preserve">雪男</t>
  </si>
  <si>
    <t xml:space="preserve">溜めてから全体に大ダメージ</t>
  </si>
  <si>
    <t xml:space="preserve">殴る／溜め→雪崩（全体）</t>
  </si>
  <si>
    <t xml:space="preserve">溜め中に軽減・かばう</t>
  </si>
  <si>
    <t xml:space="preserve">氷の魔術師</t>
  </si>
  <si>
    <t xml:space="preserve">全体の素早さを下げ、こちらの強化を打ち消す</t>
  </si>
  <si>
    <t xml:space="preserve">吹雪（全体・素早さダウン）／解呪</t>
  </si>
  <si>
    <t xml:space="preserve">強化に頼らない・早めに倒す</t>
  </si>
  <si>
    <r>
      <rPr>
        <sz val="11"/>
        <rFont val="Noto Sans CJK SC"/>
        <family val="2"/>
      </rPr>
      <t xml:space="preserve">毎ターン続く「吹雪」で全体の素早さを下げ続ける。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が半分以下になると連続行動</t>
    </r>
  </si>
  <si>
    <t xml:space="preserve">吹雪（数ターン続く）／氷の槍／連続行動</t>
  </si>
  <si>
    <t xml:space="preserve">素早さ対策・やけど・連続行動前に削り切る</t>
  </si>
  <si>
    <t xml:space="preserve">火トカゲ</t>
  </si>
  <si>
    <t xml:space="preserve">攻撃にやけどがつく</t>
  </si>
  <si>
    <t xml:space="preserve">炎の牙（やけど）</t>
  </si>
  <si>
    <t xml:space="preserve">やけど無効</t>
  </si>
  <si>
    <t xml:space="preserve">火傷薬・浄化</t>
  </si>
  <si>
    <t xml:space="preserve">溶岩スライム</t>
  </si>
  <si>
    <t xml:space="preserve">物理攻撃されると反撃してやけどにする</t>
  </si>
  <si>
    <t xml:space="preserve">体当たり／反撃（やけど）</t>
  </si>
  <si>
    <t xml:space="preserve">魔法攻撃・後列からの攻撃</t>
  </si>
  <si>
    <t xml:space="preserve">火の鳥</t>
  </si>
  <si>
    <t xml:space="preserve">素早く、全体に小ダメージ</t>
  </si>
  <si>
    <t xml:space="preserve">火の粉（全体・やけど）</t>
  </si>
  <si>
    <t xml:space="preserve">状態異常を防ぐ</t>
  </si>
  <si>
    <t xml:space="preserve">岩ゴーレム</t>
  </si>
  <si>
    <t xml:space="preserve">防御がとても高いが、精神が低い</t>
  </si>
  <si>
    <t xml:space="preserve">岩投げ</t>
  </si>
  <si>
    <t xml:space="preserve">火山コウモリ</t>
  </si>
  <si>
    <r>
      <rPr>
        <sz val="11"/>
        <rFont val="Noto Sans CJK SC"/>
        <family val="2"/>
      </rPr>
      <t xml:space="preserve">攻撃しながら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を吸収する</t>
    </r>
  </si>
  <si>
    <t xml:space="preserve">吸血</t>
  </si>
  <si>
    <t xml:space="preserve">炎の魔導師</t>
  </si>
  <si>
    <t xml:space="preserve">全体魔法でやけどをばらまく</t>
  </si>
  <si>
    <t xml:space="preserve">炎の嵐（全体・やけど）</t>
  </si>
  <si>
    <t xml:space="preserve">魔封じ・スタン</t>
  </si>
  <si>
    <t xml:space="preserve">溶岩ゴーレム</t>
  </si>
  <si>
    <r>
      <rPr>
        <sz val="11"/>
        <rFont val="Noto Sans CJK SC"/>
        <family val="2"/>
      </rPr>
      <t xml:space="preserve">防御と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がとても高く、物理攻撃に反撃する</t>
    </r>
  </si>
  <si>
    <t xml:space="preserve">溶岩の拳／反撃</t>
  </si>
  <si>
    <t xml:space="preserve">やけど無効・毒無効</t>
  </si>
  <si>
    <t xml:space="preserve">魔法攻撃・呪殺</t>
  </si>
  <si>
    <t xml:space="preserve">サラマンダー</t>
  </si>
  <si>
    <t xml:space="preserve">毎ターン全体をやけどにする</t>
  </si>
  <si>
    <t xml:space="preserve">灼熱の息（全体・やけど）</t>
  </si>
  <si>
    <t xml:space="preserve">聖域・状態異常を防ぐ</t>
  </si>
  <si>
    <r>
      <rPr>
        <sz val="11"/>
        <rFont val="Noto Sans CJK SC"/>
        <family val="2"/>
      </rPr>
      <t xml:space="preserve">溜めてから全体に特大ブレス。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が半分以下になると溜めが早くなる</t>
    </r>
  </si>
  <si>
    <t xml:space="preserve">爪／溜め→炎のブレス（全体特大）</t>
  </si>
  <si>
    <t xml:space="preserve">溜め中に聖なる盾・光の壁・守護獣など軽減を合わせる</t>
  </si>
  <si>
    <t xml:space="preserve">魔族の兵士</t>
  </si>
  <si>
    <t xml:space="preserve">全体的にバランスよく強い</t>
  </si>
  <si>
    <t xml:space="preserve">剣</t>
  </si>
  <si>
    <t xml:space="preserve">呪いの鎧</t>
  </si>
  <si>
    <t xml:space="preserve">アンデッド。防御が高い</t>
  </si>
  <si>
    <t xml:space="preserve">大剣</t>
  </si>
  <si>
    <t xml:space="preserve">毒無効・混乱無効</t>
  </si>
  <si>
    <t xml:space="preserve">夢魔</t>
  </si>
  <si>
    <t xml:space="preserve">混乱を多用する</t>
  </si>
  <si>
    <t xml:space="preserve">惑わしの歌（混乱）</t>
  </si>
  <si>
    <t xml:space="preserve">混乱無効</t>
  </si>
  <si>
    <t xml:space="preserve">万能のお守り・浄化</t>
  </si>
  <si>
    <t xml:space="preserve">魔獣</t>
  </si>
  <si>
    <t xml:space="preserve">攻撃力が高く、複数回攻撃</t>
  </si>
  <si>
    <r>
      <rPr>
        <sz val="11"/>
        <rFont val="Noto Sans CJK SC"/>
        <family val="2"/>
      </rPr>
      <t xml:space="preserve">引き裂く（</t>
    </r>
    <r>
      <rPr>
        <sz val="11"/>
        <rFont val="Meiryo"/>
        <family val="0"/>
        <charset val="1"/>
      </rPr>
      <t xml:space="preserve">×2</t>
    </r>
    <r>
      <rPr>
        <sz val="11"/>
        <rFont val="Noto Sans CJK SC"/>
        <family val="2"/>
      </rPr>
      <t xml:space="preserve">回）</t>
    </r>
  </si>
  <si>
    <t xml:space="preserve">かばう・防御アップ</t>
  </si>
  <si>
    <t xml:space="preserve">闇の司祭</t>
  </si>
  <si>
    <t xml:space="preserve">ほかの敵を回復・強化する</t>
  </si>
  <si>
    <t xml:space="preserve">闇の癒し／闇の加護</t>
  </si>
  <si>
    <t xml:space="preserve">最優先で倒す・解呪</t>
  </si>
  <si>
    <t xml:space="preserve">ガーゴイル</t>
  </si>
  <si>
    <t xml:space="preserve">防御が高く、反撃してくる</t>
  </si>
  <si>
    <t xml:space="preserve">爪／反撃</t>
  </si>
  <si>
    <t xml:space="preserve">魔法攻撃</t>
  </si>
  <si>
    <t xml:space="preserve">魔王の近衛騎士</t>
  </si>
  <si>
    <t xml:space="preserve">ほかの敵をかばう</t>
  </si>
  <si>
    <t xml:space="preserve">かばう／挑発／剣</t>
  </si>
  <si>
    <t xml:space="preserve">状態異常にかかりにくい</t>
  </si>
  <si>
    <t xml:space="preserve">全体攻撃・防御ダウン</t>
  </si>
  <si>
    <t xml:space="preserve">大魔導師</t>
  </si>
  <si>
    <t xml:space="preserve">こちらの強化を打ち消し、全体魔法を使う</t>
  </si>
  <si>
    <t xml:space="preserve">解呪／闇の嵐（全体）</t>
  </si>
  <si>
    <t xml:space="preserve">スタン・魔封じ・速攻</t>
  </si>
  <si>
    <r>
      <rPr>
        <sz val="11"/>
        <rFont val="Noto Sans CJK SC"/>
        <family val="2"/>
      </rPr>
      <t xml:space="preserve">第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段階：強化を打ち消し、全体魔法。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が半分以下で第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段階：連続行動＋状態異常無効</t>
    </r>
  </si>
  <si>
    <r>
      <rPr>
        <sz val="11"/>
        <rFont val="Noto Sans CJK SC"/>
        <family val="2"/>
      </rPr>
      <t xml:space="preserve">解呪／闇の嵐／（第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段階）連続行動・滅びの波動</t>
    </r>
  </si>
  <si>
    <r>
      <rPr>
        <sz val="11"/>
        <rFont val="Noto Sans CJK SC"/>
        <family val="2"/>
      </rPr>
      <t xml:space="preserve">第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段階は状態異常無効</t>
    </r>
  </si>
  <si>
    <r>
      <rPr>
        <sz val="11"/>
        <rFont val="Noto Sans CJK SC"/>
        <family val="2"/>
      </rPr>
      <t xml:space="preserve">第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段階で状態異常を使い切り、第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段階は総合力で押し切る</t>
    </r>
  </si>
  <si>
    <t xml:space="preserve">戦闘の基本ルール</t>
  </si>
  <si>
    <t xml:space="preserve">項目</t>
  </si>
  <si>
    <t xml:space="preserve">ルール</t>
  </si>
  <si>
    <t xml:space="preserve">行動順</t>
  </si>
  <si>
    <t xml:space="preserve">素早さ順に1人ずつ行動する個別ターン型。行動順は画面に表示</t>
  </si>
  <si>
    <t xml:space="preserve">素早さが高いほど行動回数が増える。強くなりすぎに注意</t>
  </si>
  <si>
    <t xml:space="preserve">隊列</t>
  </si>
  <si>
    <t xml:space="preserve">前列・後列の2列</t>
  </si>
  <si>
    <t xml:space="preserve">前列：攻撃を受けやすく近接攻撃が強い／後列：攻撃を受けにくく近接攻撃が弱い（弓・魔法は影響なし）</t>
  </si>
  <si>
    <t xml:space="preserve">人数の振り分けは自由</t>
  </si>
  <si>
    <t xml:space="preserve">前3後1、前2後2など</t>
  </si>
  <si>
    <t xml:space="preserve">前列が全滅したら後列が自動で前に出る</t>
  </si>
  <si>
    <t xml:space="preserve">「いれかえ」コマンドで位置変更（1ターン消費）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</si>
  <si>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</si>
  <si>
    <t xml:space="preserve">戦闘後も持ち越し</t>
  </si>
  <si>
    <t xml:space="preserve">回復は休憩所・アイテム・魔法で</t>
  </si>
  <si>
    <t xml:space="preserve">戦闘不能</t>
  </si>
  <si>
    <t xml:space="preserve">戦闘後もそのまま</t>
  </si>
  <si>
    <t xml:space="preserve">蘇生アイテム・蘇生魔法・休憩所で復活</t>
  </si>
  <si>
    <t xml:space="preserve">層クリア時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</si>
  <si>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全回復、戦闘不能も復活</t>
    </r>
  </si>
  <si>
    <t xml:space="preserve">ゲームオーバー</t>
  </si>
  <si>
    <t xml:space="preserve">全員が倒れたとき</t>
  </si>
  <si>
    <t xml:space="preserve">主人公も仲間と同じ扱い</t>
  </si>
  <si>
    <t xml:space="preserve">職業とステータス傾向（全14職業）</t>
  </si>
  <si>
    <t xml:space="preserve">◎＝とても得意　○＝普通　△＝やや苦手　×＝苦手　／　合計点は◎3・○2・△1・×0で計算（強さのバランス確認用）</t>
  </si>
  <si>
    <t xml:space="preserve">系統</t>
  </si>
  <si>
    <t xml:space="preserve">役割</t>
  </si>
  <si>
    <t xml:space="preserve">HP</t>
  </si>
  <si>
    <t xml:space="preserve">MP</t>
  </si>
  <si>
    <t xml:space="preserve">攻撃</t>
  </si>
  <si>
    <t xml:space="preserve">防御</t>
  </si>
  <si>
    <t xml:space="preserve">魔力</t>
  </si>
  <si>
    <t xml:space="preserve">精神</t>
  </si>
  <si>
    <t xml:space="preserve">素早さ</t>
  </si>
  <si>
    <t xml:space="preserve">合計点</t>
  </si>
  <si>
    <t xml:space="preserve">ひとこと</t>
  </si>
  <si>
    <t xml:space="preserve">剣士系</t>
  </si>
  <si>
    <t xml:space="preserve">戦士</t>
  </si>
  <si>
    <t xml:space="preserve">アタッカー</t>
  </si>
  <si>
    <t xml:space="preserve">○</t>
  </si>
  <si>
    <t xml:space="preserve">×</t>
  </si>
  <si>
    <t xml:space="preserve">◎</t>
  </si>
  <si>
    <t xml:space="preserve">△</t>
  </si>
  <si>
    <t xml:space="preserve">素直に殴って強い</t>
  </si>
  <si>
    <t xml:space="preserve">騎士</t>
  </si>
  <si>
    <t xml:space="preserve">タンク</t>
  </si>
  <si>
    <t xml:space="preserve">硬いが遅い</t>
  </si>
  <si>
    <t xml:space="preserve">暗黒騎士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</si>
  <si>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を削る大技のために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が多い</t>
    </r>
  </si>
  <si>
    <t xml:space="preserve">侍</t>
  </si>
  <si>
    <t xml:space="preserve">攻撃特化、守りは薄め</t>
  </si>
  <si>
    <t xml:space="preserve">魔法系</t>
  </si>
  <si>
    <t xml:space="preserve">白魔道士</t>
  </si>
  <si>
    <t xml:space="preserve">ヒーラー</t>
  </si>
  <si>
    <t xml:space="preserve">回復の要</t>
  </si>
  <si>
    <t xml:space="preserve">黒魔道士</t>
  </si>
  <si>
    <t xml:space="preserve">火力は最強、打たれ弱い</t>
  </si>
  <si>
    <t xml:space="preserve">赤魔道士</t>
  </si>
  <si>
    <t xml:space="preserve">万能</t>
  </si>
  <si>
    <t xml:space="preserve">突出しないが穴もない</t>
  </si>
  <si>
    <t xml:space="preserve">呪術師</t>
  </si>
  <si>
    <t xml:space="preserve">デバッファー</t>
  </si>
  <si>
    <t xml:space="preserve">弱体化が通りやすい</t>
  </si>
  <si>
    <t xml:space="preserve">技巧系</t>
  </si>
  <si>
    <t xml:space="preserve">盗賊</t>
  </si>
  <si>
    <t xml:space="preserve">トリッキー</t>
  </si>
  <si>
    <t xml:space="preserve">最速で動く</t>
  </si>
  <si>
    <t xml:space="preserve">狩人</t>
  </si>
  <si>
    <t xml:space="preserve">後列から安定した攻撃</t>
  </si>
  <si>
    <t xml:space="preserve">錬金術師</t>
  </si>
  <si>
    <t xml:space="preserve">本人は平凡、アイテムで化ける</t>
  </si>
  <si>
    <t xml:space="preserve">支援系</t>
  </si>
  <si>
    <t xml:space="preserve">吟遊詩人</t>
  </si>
  <si>
    <t xml:space="preserve">バッファー</t>
  </si>
  <si>
    <t xml:space="preserve">先に動いて味方を強化</t>
  </si>
  <si>
    <t xml:space="preserve">踊り子</t>
  </si>
  <si>
    <t xml:space="preserve">素早く妨害、とても打たれ弱い</t>
  </si>
  <si>
    <t xml:space="preserve">召喚士</t>
  </si>
  <si>
    <t xml:space="preserve">本体は最弱、呼び出す存在が本番</t>
  </si>
  <si>
    <t xml:space="preserve">職業ごとのビルドの方向性</t>
  </si>
  <si>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職業につき</t>
    </r>
    <r>
      <rPr>
        <sz val="9"/>
        <color rgb="FF666666"/>
        <rFont val="Meiryo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つ。方向性ごとにスキルブックを揃える</t>
    </r>
  </si>
  <si>
    <t xml:space="preserve">方向性</t>
  </si>
  <si>
    <t xml:space="preserve">戦い方</t>
  </si>
  <si>
    <t xml:space="preserve">豪腕型</t>
  </si>
  <si>
    <t xml:space="preserve">溜めてから単発の大ダメージ</t>
  </si>
  <si>
    <t xml:space="preserve">連撃型</t>
  </si>
  <si>
    <t xml:space="preserve">複数回攻撃で手数を稼ぐ</t>
  </si>
  <si>
    <t xml:space="preserve">鼓舞型</t>
  </si>
  <si>
    <t xml:space="preserve">自分を強化し続けてから殴る</t>
  </si>
  <si>
    <t xml:space="preserve">守護型</t>
  </si>
  <si>
    <t xml:space="preserve">かばう・挑発で攻撃を一手に引き受ける</t>
  </si>
  <si>
    <t xml:space="preserve">反撃型</t>
  </si>
  <si>
    <t xml:space="preserve">攻撃を受けるたびに反撃する</t>
  </si>
  <si>
    <t xml:space="preserve">聖騎士型</t>
  </si>
  <si>
    <t xml:space="preserve">味方全体の防御を上げ、少し回復もする</t>
  </si>
  <si>
    <t xml:space="preserve">捨て身型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</si>
  <si>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を削って大ダメージを連発</t>
    </r>
  </si>
  <si>
    <t xml:space="preserve">吸血型</t>
  </si>
  <si>
    <t xml:space="preserve">攻撃しながら回復して粘る</t>
  </si>
  <si>
    <t xml:space="preserve">呪い剣型</t>
  </si>
  <si>
    <t xml:space="preserve">攻撃に状態異常を乗せる</t>
  </si>
  <si>
    <t xml:space="preserve">居合型</t>
  </si>
  <si>
    <t xml:space="preserve">溜めの大技で一撃必殺</t>
  </si>
  <si>
    <t xml:space="preserve">見切り型</t>
  </si>
  <si>
    <t xml:space="preserve">回避と反撃で戦う</t>
  </si>
  <si>
    <t xml:space="preserve">疾風型</t>
  </si>
  <si>
    <t xml:space="preserve">素早さが高いほど威力が上がる</t>
  </si>
  <si>
    <t xml:space="preserve">回復型</t>
  </si>
  <si>
    <t xml:space="preserve">単体・全体の回復と蘇生</t>
  </si>
  <si>
    <t xml:space="preserve">結界型</t>
  </si>
  <si>
    <t xml:space="preserve">防御・精神を上げてダメージを防ぐ</t>
  </si>
  <si>
    <t xml:space="preserve">浄化型</t>
  </si>
  <si>
    <t xml:space="preserve">状態異常を治す・予防する</t>
  </si>
  <si>
    <t xml:space="preserve">一撃型</t>
  </si>
  <si>
    <t xml:space="preserve">単体に大魔法</t>
  </si>
  <si>
    <t xml:space="preserve">範囲型</t>
  </si>
  <si>
    <t xml:space="preserve">敵全体を魔法でまとめて削る</t>
  </si>
  <si>
    <t xml:space="preserve">状態異常型</t>
  </si>
  <si>
    <t xml:space="preserve">やけどや素早さダウンで弱らせながら削る</t>
  </si>
  <si>
    <t xml:space="preserve">魔法剣型</t>
  </si>
  <si>
    <t xml:space="preserve">物理攻撃に魔力を上乗せ</t>
  </si>
  <si>
    <t xml:space="preserve">連続魔型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</si>
  <si>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ターンに魔法を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回唱える</t>
    </r>
  </si>
  <si>
    <t xml:space="preserve">万能型</t>
  </si>
  <si>
    <t xml:space="preserve">小回復と小強化で穴を埋める</t>
  </si>
  <si>
    <t xml:space="preserve">毒型</t>
  </si>
  <si>
    <t xml:space="preserve">毒を重ねてじわじわ削る</t>
  </si>
  <si>
    <t xml:space="preserve">弱体型</t>
  </si>
  <si>
    <t xml:space="preserve">敵のステータスを下げまくる</t>
  </si>
  <si>
    <t xml:space="preserve">呪殺型</t>
  </si>
  <si>
    <t xml:space="preserve">状態異常が多い敵ほど大ダメージ</t>
  </si>
  <si>
    <t xml:space="preserve">毒刃型</t>
  </si>
  <si>
    <t xml:space="preserve">速い攻撃に毒を乗せる</t>
  </si>
  <si>
    <t xml:space="preserve">速攻型</t>
  </si>
  <si>
    <t xml:space="preserve">行動順を早めて何度も動く</t>
  </si>
  <si>
    <t xml:space="preserve">強奪型</t>
  </si>
  <si>
    <t xml:space="preserve">戦闘でお金やアイテムを多く得る</t>
  </si>
  <si>
    <t xml:space="preserve">狙撃型</t>
  </si>
  <si>
    <t xml:space="preserve">弱った敵に大ダメージ</t>
  </si>
  <si>
    <t xml:space="preserve">弾幕型</t>
  </si>
  <si>
    <t xml:space="preserve">敵全体に複数回攻撃</t>
  </si>
  <si>
    <t xml:space="preserve">罠型</t>
  </si>
  <si>
    <t xml:space="preserve">罠を張り、攻撃してきた敵にダメージ</t>
  </si>
  <si>
    <t xml:space="preserve">爆薬型</t>
  </si>
  <si>
    <t xml:space="preserve">敵全体に爆発ダメージ</t>
  </si>
  <si>
    <t xml:space="preserve">薬師型</t>
  </si>
  <si>
    <t xml:space="preserve">回復と状態異常の治療</t>
  </si>
  <si>
    <t xml:space="preserve">劇薬型</t>
  </si>
  <si>
    <t xml:space="preserve">自分のHPを削って強い状態異常をばらまく</t>
  </si>
  <si>
    <t xml:space="preserve">英雄譚型</t>
  </si>
  <si>
    <t xml:space="preserve">味方全体の攻撃力アップ</t>
  </si>
  <si>
    <t xml:space="preserve">守護歌型</t>
  </si>
  <si>
    <t xml:space="preserve">味方全体の防御アップ＋毎ターン少し回復</t>
  </si>
  <si>
    <t xml:space="preserve">疾風歌型</t>
  </si>
  <si>
    <t xml:space="preserve">味方全体の素早さアップ・行動順を早める</t>
  </si>
  <si>
    <t xml:space="preserve">剣舞型</t>
  </si>
  <si>
    <t xml:space="preserve">ランダムな敵に複数回攻撃</t>
  </si>
  <si>
    <t xml:space="preserve">幻惑型</t>
  </si>
  <si>
    <t xml:space="preserve">混乱や行動順の遅延で敵を妨害</t>
  </si>
  <si>
    <t xml:space="preserve">応援型</t>
  </si>
  <si>
    <t xml:space="preserve">味方の行動順を早める</t>
  </si>
  <si>
    <t xml:space="preserve">精霊型</t>
  </si>
  <si>
    <t xml:space="preserve">数ターン、毎ターン敵にダメージを与え続ける</t>
  </si>
  <si>
    <t xml:space="preserve">守護獣型</t>
  </si>
  <si>
    <t xml:space="preserve">数ターン、味方の受けるダメージを減らす</t>
  </si>
  <si>
    <t xml:space="preserve">大召喚型</t>
  </si>
  <si>
    <t xml:space="preserve">長く溜めて超大ダメージ</t>
  </si>
  <si>
    <t xml:space="preserve">スキルブック一覧（叩き台）</t>
  </si>
  <si>
    <t xml:space="preserve">全て「部品」の組み合わせで作る。★＝レア本（オレンジ）。数値（小・中・大）は試作で調整。見出しの▼で職業や方向性ごとに絞り込める</t>
  </si>
  <si>
    <t xml:space="preserve">本</t>
  </si>
  <si>
    <t xml:space="preserve">レア度</t>
  </si>
  <si>
    <t xml:space="preserve">対象</t>
  </si>
  <si>
    <t xml:space="preserve">コスト</t>
  </si>
  <si>
    <t xml:space="preserve">効果（部品の組み合わせ）</t>
  </si>
  <si>
    <t xml:space="preserve">強打</t>
  </si>
  <si>
    <t xml:space="preserve">単体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</si>
  <si>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小</t>
    </r>
  </si>
  <si>
    <t xml:space="preserve">物理ダメージ大</t>
  </si>
  <si>
    <t xml:space="preserve">力溜め</t>
  </si>
  <si>
    <t xml:space="preserve">自分</t>
  </si>
  <si>
    <t xml:space="preserve">なし</t>
  </si>
  <si>
    <t xml:space="preserve">溜め：次の攻撃の威力2倍</t>
  </si>
  <si>
    <t xml:space="preserve">叩き割り</t>
  </si>
  <si>
    <t xml:space="preserve">物理ダメージ中＋防御ダウン</t>
  </si>
  <si>
    <t xml:space="preserve">大振り</t>
  </si>
  <si>
    <t xml:space="preserve">前列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</si>
  <si>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中</t>
    </r>
  </si>
  <si>
    <t xml:space="preserve">物理ダメージ中</t>
  </si>
  <si>
    <t xml:space="preserve">渾身の一撃</t>
  </si>
  <si>
    <t xml:space="preserve">レア</t>
  </si>
  <si>
    <t xml:space="preserve">溜め：次のターンに物理ダメージ特大</t>
  </si>
  <si>
    <t xml:space="preserve">二段斬り</t>
  </si>
  <si>
    <t xml:space="preserve">物理ダメージ小×2回</t>
  </si>
  <si>
    <t xml:space="preserve">乱れ打ち</t>
  </si>
  <si>
    <t xml:space="preserve">ランダム</t>
  </si>
  <si>
    <t xml:space="preserve">物理ダメージ小×3〜4回</t>
  </si>
  <si>
    <t xml:space="preserve">なぎ払い</t>
  </si>
  <si>
    <t xml:space="preserve">物理ダメージ小</t>
  </si>
  <si>
    <t xml:space="preserve">追い打ち</t>
  </si>
  <si>
    <t xml:space="preserve">物理ダメージ中／状態異常の敵に威力アップ</t>
  </si>
  <si>
    <t xml:space="preserve">百裂撃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</si>
  <si>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大</t>
    </r>
  </si>
  <si>
    <t xml:space="preserve">物理ダメージ小×6回</t>
  </si>
  <si>
    <t xml:space="preserve">雄叫び</t>
  </si>
  <si>
    <t xml:space="preserve">攻撃力アップ</t>
  </si>
  <si>
    <t xml:space="preserve">闘志</t>
  </si>
  <si>
    <t xml:space="preserve">素早さアップ</t>
  </si>
  <si>
    <t xml:space="preserve">気合い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</si>
  <si>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回復小</t>
    </r>
  </si>
  <si>
    <t xml:space="preserve">鬼神化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</si>
  <si>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中</t>
    </r>
  </si>
  <si>
    <t xml:space="preserve">攻撃力大アップ＋防御ダウン</t>
  </si>
  <si>
    <t xml:space="preserve">無双</t>
  </si>
  <si>
    <t xml:space="preserve">物理ダメージ大／自分にかかった強化の数だけ威力アップ</t>
  </si>
  <si>
    <t xml:space="preserve">かばう</t>
  </si>
  <si>
    <t xml:space="preserve">味方単体</t>
  </si>
  <si>
    <t xml:space="preserve">かばう（1ターン）</t>
  </si>
  <si>
    <t xml:space="preserve">挑発</t>
  </si>
  <si>
    <t xml:space="preserve">鉄壁</t>
  </si>
  <si>
    <t xml:space="preserve">防御力大アップ（数ターン）</t>
  </si>
  <si>
    <t xml:space="preserve">仁王立ち</t>
  </si>
  <si>
    <t xml:space="preserve">挑発＋防御力アップ</t>
  </si>
  <si>
    <t xml:space="preserve">聖なる盾</t>
  </si>
  <si>
    <t xml:space="preserve">味方全体</t>
  </si>
  <si>
    <t xml:space="preserve">受けるダメージ半減（1ターン）</t>
  </si>
  <si>
    <t xml:space="preserve">構え</t>
  </si>
  <si>
    <t xml:space="preserve">反撃（1ターン）</t>
  </si>
  <si>
    <t xml:space="preserve">盾撃</t>
  </si>
  <si>
    <t xml:space="preserve">物理ダメージ中／防御力が高いほど威力アップ</t>
  </si>
  <si>
    <t xml:space="preserve">報復の剣</t>
  </si>
  <si>
    <t xml:space="preserve">物理ダメージ中／自分のHPが減っているほど威力アップ</t>
  </si>
  <si>
    <t xml:space="preserve">返し刃</t>
  </si>
  <si>
    <t xml:space="preserve">反撃（数ターン）</t>
  </si>
  <si>
    <t xml:space="preserve">不屈の反撃</t>
  </si>
  <si>
    <t xml:space="preserve">反撃＋防御力アップ（数ターン）</t>
  </si>
  <si>
    <t xml:space="preserve">守りの誓い</t>
  </si>
  <si>
    <t xml:space="preserve">防御力アップ</t>
  </si>
  <si>
    <t xml:space="preserve">癒しの手</t>
  </si>
  <si>
    <t xml:space="preserve">聖剣</t>
  </si>
  <si>
    <t xml:space="preserve">魔法ダメージ中</t>
  </si>
  <si>
    <t xml:space="preserve">加護</t>
  </si>
  <si>
    <t xml:space="preserve">精神アップ</t>
  </si>
  <si>
    <t xml:space="preserve">聖光陣</t>
  </si>
  <si>
    <t xml:space="preserve">毎ターンHP回復（数ターン）</t>
  </si>
  <si>
    <t xml:space="preserve">暗黒剣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</si>
  <si>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小</t>
    </r>
  </si>
  <si>
    <t xml:space="preserve">暗黒波</t>
  </si>
  <si>
    <t xml:space="preserve">全体</t>
  </si>
  <si>
    <t xml:space="preserve">捨て身</t>
  </si>
  <si>
    <t xml:space="preserve">血の誓い</t>
  </si>
  <si>
    <t xml:space="preserve">攻撃力アップ（数ターン）</t>
  </si>
  <si>
    <t xml:space="preserve">冥府の一撃</t>
  </si>
  <si>
    <t xml:space="preserve">物理ダメージ大／自分のHPが低いほど威力アップ</t>
  </si>
  <si>
    <t xml:space="preserve">吸血斬り</t>
  </si>
  <si>
    <t xml:space="preserve">物理ダメージ中＋吸収</t>
  </si>
  <si>
    <t xml:space="preserve">生命吸収</t>
  </si>
  <si>
    <t xml:space="preserve">魔法ダメージ小＋吸収</t>
  </si>
  <si>
    <t xml:space="preserve">渇き</t>
  </si>
  <si>
    <t xml:space="preserve">攻撃に吸収がつく（数ターン）</t>
  </si>
  <si>
    <t xml:space="preserve">闇の抱擁</t>
  </si>
  <si>
    <t xml:space="preserve">物理ダメージ中＋吸収／自分のHPが低いほど吸収量アップ</t>
  </si>
  <si>
    <t xml:space="preserve">血の饗宴</t>
  </si>
  <si>
    <t xml:space="preserve">毒の剣</t>
  </si>
  <si>
    <t xml:space="preserve">物理ダメージ中＋毒</t>
  </si>
  <si>
    <t xml:space="preserve">業火剣</t>
  </si>
  <si>
    <t xml:space="preserve">物理ダメージ中＋やけど</t>
  </si>
  <si>
    <t xml:space="preserve">呪縛剣</t>
  </si>
  <si>
    <t xml:space="preserve">物理ダメージ小＋スタン</t>
  </si>
  <si>
    <t xml:space="preserve">災いの刃</t>
  </si>
  <si>
    <t xml:space="preserve">呪い喰らい</t>
  </si>
  <si>
    <t xml:space="preserve">物理ダメージ大／敵の状態異常の数だけ威力アップ</t>
  </si>
  <si>
    <t xml:space="preserve">居合</t>
  </si>
  <si>
    <t xml:space="preserve">溜め：次のターンに物理ダメージ大</t>
  </si>
  <si>
    <t xml:space="preserve">抜刀術</t>
  </si>
  <si>
    <t xml:space="preserve">溜め：次のターンに物理ダメージ中</t>
  </si>
  <si>
    <t xml:space="preserve">精神統一</t>
  </si>
  <si>
    <t xml:space="preserve">溜め：次の攻撃の威力アップ＋素早さアップ</t>
  </si>
  <si>
    <t xml:space="preserve">斬鉄</t>
  </si>
  <si>
    <t xml:space="preserve">一刀両断</t>
  </si>
  <si>
    <t xml:space="preserve">見切り</t>
  </si>
  <si>
    <t xml:space="preserve">回避＋反撃（1回）</t>
  </si>
  <si>
    <t xml:space="preserve">受け流し</t>
  </si>
  <si>
    <t xml:space="preserve">回避アップ（数ターン）</t>
  </si>
  <si>
    <t xml:space="preserve">返し技</t>
  </si>
  <si>
    <t xml:space="preserve">物理ダメージ中／直前に攻撃してきた敵に威力アップ</t>
  </si>
  <si>
    <t xml:space="preserve">柳の構え</t>
  </si>
  <si>
    <t xml:space="preserve">無念無想</t>
  </si>
  <si>
    <t xml:space="preserve">回避アップ＋反撃（数ターン）</t>
  </si>
  <si>
    <t xml:space="preserve">燕返し</t>
  </si>
  <si>
    <t xml:space="preserve">疾風斬り</t>
  </si>
  <si>
    <t xml:space="preserve">物理ダメージ中／素早さが高いほど威力アップ</t>
  </si>
  <si>
    <t xml:space="preserve">神速</t>
  </si>
  <si>
    <t xml:space="preserve">行動順を早める</t>
  </si>
  <si>
    <t xml:space="preserve">風切り</t>
  </si>
  <si>
    <t xml:space="preserve">物理ダメージ小／素早さが高いほど威力アップ</t>
  </si>
  <si>
    <t xml:space="preserve">一閃</t>
  </si>
  <si>
    <t xml:space="preserve">物理ダメージ大／素早さが高いほど威力アップ</t>
  </si>
  <si>
    <t xml:space="preserve">癒しの光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</si>
  <si>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回復中</t>
    </r>
  </si>
  <si>
    <t xml:space="preserve">癒しの雨</t>
  </si>
  <si>
    <t xml:space="preserve">大いなる癒し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</si>
  <si>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回復大</t>
    </r>
  </si>
  <si>
    <t xml:space="preserve">蘇生</t>
  </si>
  <si>
    <t xml:space="preserve">大蘇生</t>
  </si>
  <si>
    <t xml:space="preserve">蘇生＋HP回復</t>
  </si>
  <si>
    <t xml:space="preserve">守りの光</t>
  </si>
  <si>
    <t xml:space="preserve">魔除け</t>
  </si>
  <si>
    <t xml:space="preserve">光の壁</t>
  </si>
  <si>
    <t xml:space="preserve">受けるダメージ軽減（数ターン）</t>
  </si>
  <si>
    <t xml:space="preserve">祈り</t>
  </si>
  <si>
    <t xml:space="preserve">毎ターンHP回復小（数ターン）</t>
  </si>
  <si>
    <t xml:space="preserve">聖域</t>
  </si>
  <si>
    <t xml:space="preserve">毎ターンHP回復＋状態異常を防ぐ（数ターン）</t>
  </si>
  <si>
    <t xml:space="preserve">浄化</t>
  </si>
  <si>
    <t xml:space="preserve">状態異常を治す</t>
  </si>
  <si>
    <t xml:space="preserve">清めの風</t>
  </si>
  <si>
    <t xml:space="preserve">加護の光</t>
  </si>
  <si>
    <t xml:space="preserve">状態異常を防ぐ（数ターン）</t>
  </si>
  <si>
    <t xml:space="preserve">解呪</t>
  </si>
  <si>
    <t xml:space="preserve">敵の強化を打ち消す</t>
  </si>
  <si>
    <t xml:space="preserve">天恵</t>
  </si>
  <si>
    <t xml:space="preserve">状態異常を治す＋HP回復中</t>
  </si>
  <si>
    <t xml:space="preserve">火炎</t>
  </si>
  <si>
    <t xml:space="preserve">魔法ダメージ中＋やけど</t>
  </si>
  <si>
    <t xml:space="preserve">雷撃</t>
  </si>
  <si>
    <t xml:space="preserve">魔法ダメージ大</t>
  </si>
  <si>
    <t xml:space="preserve">魔力集中</t>
  </si>
  <si>
    <t xml:space="preserve">溜め：次の魔法の威力2倍</t>
  </si>
  <si>
    <t xml:space="preserve">冥炎</t>
  </si>
  <si>
    <t xml:space="preserve">魔法ダメージ大／HPが多い敵に威力アップ</t>
  </si>
  <si>
    <t xml:space="preserve">滅びの雷</t>
  </si>
  <si>
    <t xml:space="preserve">魔法ダメージ特大</t>
  </si>
  <si>
    <t xml:space="preserve">炎の嵐</t>
  </si>
  <si>
    <t xml:space="preserve">魔法ダメージ小＋やけど</t>
  </si>
  <si>
    <t xml:space="preserve">雷の雨</t>
  </si>
  <si>
    <t xml:space="preserve">氷の波</t>
  </si>
  <si>
    <t xml:space="preserve">魔法ダメージ小＋素早さダウン</t>
  </si>
  <si>
    <t xml:space="preserve">連鎖雷</t>
  </si>
  <si>
    <t xml:space="preserve">魔法ダメージ小×3回</t>
  </si>
  <si>
    <t xml:space="preserve">隕石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</si>
  <si>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全部</t>
    </r>
  </si>
  <si>
    <t xml:space="preserve">氷結</t>
  </si>
  <si>
    <t xml:space="preserve">灼熱</t>
  </si>
  <si>
    <t xml:space="preserve">やけど</t>
  </si>
  <si>
    <t xml:space="preserve">麻痺の雷</t>
  </si>
  <si>
    <t xml:space="preserve">魔法ダメージ小＋スタン</t>
  </si>
  <si>
    <t xml:space="preserve">魔力の毒</t>
  </si>
  <si>
    <t xml:space="preserve">毒＋精神ダウン</t>
  </si>
  <si>
    <t xml:space="preserve">終焉の炎</t>
  </si>
  <si>
    <t xml:space="preserve">魔法ダメージ大／状態異常の敵に威力アップ</t>
  </si>
  <si>
    <t xml:space="preserve">魔法剣</t>
  </si>
  <si>
    <t xml:space="preserve">物理＋魔法ダメージ</t>
  </si>
  <si>
    <t xml:space="preserve">炎の剣</t>
  </si>
  <si>
    <t xml:space="preserve">雷の剣</t>
  </si>
  <si>
    <t xml:space="preserve">物理＋魔法ダメージ小</t>
  </si>
  <si>
    <t xml:space="preserve">魔力付与</t>
  </si>
  <si>
    <t xml:space="preserve">攻撃に魔法ダメージが上乗せされる（数ターン）</t>
  </si>
  <si>
    <t xml:space="preserve">双魔剣</t>
  </si>
  <si>
    <t xml:space="preserve">物理＋魔法ダメージ×2回</t>
  </si>
  <si>
    <t xml:space="preserve">連続魔</t>
  </si>
  <si>
    <t xml:space="preserve">連続行動：このターン魔法を2回</t>
  </si>
  <si>
    <t xml:space="preserve">小火炎</t>
  </si>
  <si>
    <t xml:space="preserve">小雷撃</t>
  </si>
  <si>
    <t xml:space="preserve">魔法ダメージ小</t>
  </si>
  <si>
    <t xml:space="preserve">魔力循環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</si>
  <si>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回復小</t>
    </r>
  </si>
  <si>
    <t xml:space="preserve">三重詠唱</t>
  </si>
  <si>
    <t xml:space="preserve">連続行動：このターン魔法を3回</t>
  </si>
  <si>
    <t xml:space="preserve">癒しの風</t>
  </si>
  <si>
    <t xml:space="preserve">小さな加護</t>
  </si>
  <si>
    <t xml:space="preserve">攻撃力＋防御力アップ小</t>
  </si>
  <si>
    <t xml:space="preserve">応急処置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</si>
  <si>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回復小＋状態異常を治す</t>
    </r>
  </si>
  <si>
    <t xml:space="preserve">小蘇生</t>
  </si>
  <si>
    <t xml:space="preserve">蘇生（HPわずか）</t>
  </si>
  <si>
    <t xml:space="preserve">万能の極意</t>
  </si>
  <si>
    <t xml:space="preserve">全ステータスアップ（数ターン）</t>
  </si>
  <si>
    <t xml:space="preserve">毒の呪い</t>
  </si>
  <si>
    <t xml:space="preserve">毒</t>
  </si>
  <si>
    <t xml:space="preserve">毒霧</t>
  </si>
  <si>
    <t xml:space="preserve">猛毒</t>
  </si>
  <si>
    <t xml:space="preserve">強い毒</t>
  </si>
  <si>
    <t xml:space="preserve">毒の滴り</t>
  </si>
  <si>
    <t xml:space="preserve">魔法ダメージ中／毒の敵に威力アップ</t>
  </si>
  <si>
    <t xml:space="preserve">腐蝕</t>
  </si>
  <si>
    <t xml:space="preserve">毎ターン毒を重ねる（数ターン）</t>
  </si>
  <si>
    <t xml:space="preserve">弱体</t>
  </si>
  <si>
    <t xml:space="preserve">攻撃力＋防御力ダウン</t>
  </si>
  <si>
    <t xml:space="preserve">鈍化</t>
  </si>
  <si>
    <t xml:space="preserve">素早さ大ダウン</t>
  </si>
  <si>
    <t xml:space="preserve">魔封じ</t>
  </si>
  <si>
    <t xml:space="preserve">魔力＋精神ダウン</t>
  </si>
  <si>
    <t xml:space="preserve">衰弱の霧</t>
  </si>
  <si>
    <t xml:space="preserve">攻撃力ダウン</t>
  </si>
  <si>
    <t xml:space="preserve">全能封じ</t>
  </si>
  <si>
    <t xml:space="preserve">全ステータスダウン</t>
  </si>
  <si>
    <t xml:space="preserve">呪詛</t>
  </si>
  <si>
    <t xml:space="preserve">魔法ダメージ中／敵の状態異常の数だけ威力アップ</t>
  </si>
  <si>
    <t xml:space="preserve">怨嗟</t>
  </si>
  <si>
    <t xml:space="preserve">魔法ダメージ小／敵の状態異常の数だけ威力アップ</t>
  </si>
  <si>
    <t xml:space="preserve">混乱の呪い</t>
  </si>
  <si>
    <t xml:space="preserve">混乱</t>
  </si>
  <si>
    <t xml:space="preserve">呪縛</t>
  </si>
  <si>
    <t xml:space="preserve">スタン</t>
  </si>
  <si>
    <t xml:space="preserve">死の宣告</t>
  </si>
  <si>
    <t xml:space="preserve">魔法ダメージ特大／敵の状態異常の数だけ威力アップ</t>
  </si>
  <si>
    <t xml:space="preserve">毒刃</t>
  </si>
  <si>
    <t xml:space="preserve">物理ダメージ小＋毒</t>
  </si>
  <si>
    <t xml:space="preserve">二刀毒刃</t>
  </si>
  <si>
    <t xml:space="preserve">物理ダメージ小×2回＋毒</t>
  </si>
  <si>
    <t xml:space="preserve">急所突き</t>
  </si>
  <si>
    <t xml:space="preserve">物理ダメージ中／毒の敵に威力アップ</t>
  </si>
  <si>
    <t xml:space="preserve">毒塗り</t>
  </si>
  <si>
    <t xml:space="preserve">攻撃に毒がつく（数ターン）</t>
  </si>
  <si>
    <t xml:space="preserve">致命の一刺し</t>
  </si>
  <si>
    <t xml:space="preserve">物理ダメージ大／毒の敵なら威力特大</t>
  </si>
  <si>
    <t xml:space="preserve">早業</t>
  </si>
  <si>
    <t xml:space="preserve">物理ダメージ小＋行動順を早める</t>
  </si>
  <si>
    <t xml:space="preserve">先手必勝</t>
  </si>
  <si>
    <t xml:space="preserve">連続突き</t>
  </si>
  <si>
    <t xml:space="preserve">物理ダメージ小×3回</t>
  </si>
  <si>
    <t xml:space="preserve">影縫い</t>
  </si>
  <si>
    <t xml:space="preserve">物理ダメージ小＋行動順を遅らせる</t>
  </si>
  <si>
    <t xml:space="preserve">影分身</t>
  </si>
  <si>
    <t xml:space="preserve">回避大アップ（数ターン）</t>
  </si>
  <si>
    <t xml:space="preserve">アイテムを奪う</t>
  </si>
  <si>
    <t xml:space="preserve">小銭稼ぎ</t>
  </si>
  <si>
    <t xml:space="preserve">物理ダメージ小＋お金を得る</t>
  </si>
  <si>
    <t xml:space="preserve">目利き</t>
  </si>
  <si>
    <t xml:space="preserve">この戦闘の報酬アップ</t>
  </si>
  <si>
    <t xml:space="preserve">足払い</t>
  </si>
  <si>
    <t xml:space="preserve">大泥棒</t>
  </si>
  <si>
    <t xml:space="preserve">レアなアイテムを奪う</t>
  </si>
  <si>
    <t xml:space="preserve">狙い撃ち</t>
  </si>
  <si>
    <t xml:space="preserve">物理ダメージ中／HPが少ない敵に威力アップ</t>
  </si>
  <si>
    <t xml:space="preserve">狙いを定める</t>
  </si>
  <si>
    <t xml:space="preserve">溜め：次の攻撃が必ずクリティカル</t>
  </si>
  <si>
    <t xml:space="preserve">急所射ち</t>
  </si>
  <si>
    <t xml:space="preserve">足止めの矢</t>
  </si>
  <si>
    <t xml:space="preserve">物理ダメージ小＋素早さダウン</t>
  </si>
  <si>
    <t xml:space="preserve">必中の一矢</t>
  </si>
  <si>
    <t xml:space="preserve">物理ダメージ大・必ずクリティカル</t>
  </si>
  <si>
    <t xml:space="preserve">矢の雨</t>
  </si>
  <si>
    <t xml:space="preserve">二連射</t>
  </si>
  <si>
    <t xml:space="preserve">乱れ撃ち</t>
  </si>
  <si>
    <t xml:space="preserve">物理ダメージ小×4回</t>
  </si>
  <si>
    <t xml:space="preserve">速射</t>
  </si>
  <si>
    <t xml:space="preserve">流星矢</t>
  </si>
  <si>
    <t xml:space="preserve">物理ダメージ中×2回</t>
  </si>
  <si>
    <t xml:space="preserve">罠</t>
  </si>
  <si>
    <t xml:space="preserve">毒の罠</t>
  </si>
  <si>
    <t xml:space="preserve">反撃＋毒（数ターン）</t>
  </si>
  <si>
    <t xml:space="preserve">しびれ罠</t>
  </si>
  <si>
    <t xml:space="preserve">反撃＋スタン（数ターン）</t>
  </si>
  <si>
    <t xml:space="preserve">誘いの罠</t>
  </si>
  <si>
    <t xml:space="preserve">挑発＋反撃（数ターン）</t>
  </si>
  <si>
    <t xml:space="preserve">罠の名手</t>
  </si>
  <si>
    <t xml:space="preserve">味方全体に反撃がつく（数ターン）</t>
  </si>
  <si>
    <t xml:space="preserve">火炎瓶</t>
  </si>
  <si>
    <t xml:space="preserve">爆弾</t>
  </si>
  <si>
    <t xml:space="preserve">閃光弾</t>
  </si>
  <si>
    <t xml:space="preserve">素早さダウン</t>
  </si>
  <si>
    <t xml:space="preserve">連鎖爆発</t>
  </si>
  <si>
    <t xml:space="preserve">大爆発</t>
  </si>
  <si>
    <t xml:space="preserve">物理ダメージ特大</t>
  </si>
  <si>
    <t xml:space="preserve">回復薬</t>
  </si>
  <si>
    <t xml:space="preserve">霧の薬</t>
  </si>
  <si>
    <t xml:space="preserve">解毒薬</t>
  </si>
  <si>
    <t xml:space="preserve">活力剤</t>
  </si>
  <si>
    <t xml:space="preserve">霊薬</t>
  </si>
  <si>
    <t xml:space="preserve">蘇生＋HP全回復</t>
  </si>
  <si>
    <t xml:space="preserve">劇薬</t>
  </si>
  <si>
    <t xml:space="preserve">狂乱薬</t>
  </si>
  <si>
    <t xml:space="preserve">腐食液</t>
  </si>
  <si>
    <t xml:space="preserve">防御力大ダウン</t>
  </si>
  <si>
    <t xml:space="preserve">興奮剤</t>
  </si>
  <si>
    <t xml:space="preserve">攻撃力＋素早さアップ</t>
  </si>
  <si>
    <t xml:space="preserve">禁断の調合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</si>
  <si>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大</t>
    </r>
  </si>
  <si>
    <t xml:space="preserve">毒＋やけど＋混乱</t>
  </si>
  <si>
    <t xml:space="preserve">勇気の歌</t>
  </si>
  <si>
    <t xml:space="preserve">戦いの調べ</t>
  </si>
  <si>
    <t xml:space="preserve">攻撃力大アップ</t>
  </si>
  <si>
    <t xml:space="preserve">魔力の歌</t>
  </si>
  <si>
    <t xml:space="preserve">魔力アップ</t>
  </si>
  <si>
    <t xml:space="preserve">激励</t>
  </si>
  <si>
    <t xml:space="preserve">英雄の歌</t>
  </si>
  <si>
    <t xml:space="preserve">全ステータスアップ</t>
  </si>
  <si>
    <t xml:space="preserve">守りの歌</t>
  </si>
  <si>
    <t xml:space="preserve">安らぎの歌</t>
  </si>
  <si>
    <t xml:space="preserve">心の歌</t>
  </si>
  <si>
    <t xml:space="preserve">鎮魂歌</t>
  </si>
  <si>
    <t xml:space="preserve">守護の大合唱</t>
  </si>
  <si>
    <t xml:space="preserve">受けるダメージ軽減＋毎ターンHP回復（数ターン）</t>
  </si>
  <si>
    <t xml:space="preserve">疾風の歌</t>
  </si>
  <si>
    <t xml:space="preserve">急かしの歌</t>
  </si>
  <si>
    <t xml:space="preserve">まどろみの歌</t>
  </si>
  <si>
    <t xml:space="preserve">行動順を遅らせる</t>
  </si>
  <si>
    <t xml:space="preserve">軽快な調べ</t>
  </si>
  <si>
    <t xml:space="preserve">素早さアップ小</t>
  </si>
  <si>
    <t xml:space="preserve">追い風の協奏曲</t>
  </si>
  <si>
    <t xml:space="preserve">行動順を早める＋素早さアップ</t>
  </si>
  <si>
    <t xml:space="preserve">剣の舞</t>
  </si>
  <si>
    <t xml:space="preserve">物理ダメージ小×2〜4回</t>
  </si>
  <si>
    <t xml:space="preserve">円舞</t>
  </si>
  <si>
    <t xml:space="preserve">加速の舞</t>
  </si>
  <si>
    <t xml:space="preserve">連舞</t>
  </si>
  <si>
    <t xml:space="preserve">死の舞踏</t>
  </si>
  <si>
    <t xml:space="preserve">物理ダメージ中×5回</t>
  </si>
  <si>
    <t xml:space="preserve">惑わしの舞</t>
  </si>
  <si>
    <t xml:space="preserve">足止めの舞</t>
  </si>
  <si>
    <t xml:space="preserve">魅惑のステップ</t>
  </si>
  <si>
    <t xml:space="preserve">幻影の舞</t>
  </si>
  <si>
    <t xml:space="preserve">狂乱の舞</t>
  </si>
  <si>
    <t xml:space="preserve">応援の舞</t>
  </si>
  <si>
    <t xml:space="preserve">喝采</t>
  </si>
  <si>
    <t xml:space="preserve">攻撃力＋素早さアップ小</t>
  </si>
  <si>
    <t xml:space="preserve">癒しの舞</t>
  </si>
  <si>
    <t xml:space="preserve">情熱の舞</t>
  </si>
  <si>
    <t xml:space="preserve">大喝采</t>
  </si>
  <si>
    <t xml:space="preserve">行動順を早める＋攻撃力アップ</t>
  </si>
  <si>
    <t xml:space="preserve">火の精霊</t>
  </si>
  <si>
    <t xml:space="preserve">毎ターン魔法ダメージ小＋やけど（数ターン）</t>
  </si>
  <si>
    <t xml:space="preserve">雷の精霊</t>
  </si>
  <si>
    <t xml:space="preserve">毎ターン魔法ダメージ中（数ターン）</t>
  </si>
  <si>
    <t xml:space="preserve">氷の精霊</t>
  </si>
  <si>
    <t xml:space="preserve">毎ターン素早さダウン（数ターン）</t>
  </si>
  <si>
    <t xml:space="preserve">精霊の共鳴</t>
  </si>
  <si>
    <t xml:space="preserve">魔法ダメージ小／場に残っている効果の数だけ威力アップ</t>
  </si>
  <si>
    <t xml:space="preserve">精霊王</t>
  </si>
  <si>
    <t xml:space="preserve">毎ターン魔法ダメージ大（数ターン）</t>
  </si>
  <si>
    <t xml:space="preserve">守護獣</t>
  </si>
  <si>
    <t xml:space="preserve">癒しの獣</t>
  </si>
  <si>
    <t xml:space="preserve">身代わりの獣</t>
  </si>
  <si>
    <t xml:space="preserve">かばう（数ターン）</t>
  </si>
  <si>
    <t xml:space="preserve">威嚇の獣</t>
  </si>
  <si>
    <t xml:space="preserve">聖獣</t>
  </si>
  <si>
    <t xml:space="preserve">召喚の儀</t>
  </si>
  <si>
    <t xml:space="preserve">溜め：次の技の威力2倍</t>
  </si>
  <si>
    <t xml:space="preserve">竜召喚</t>
  </si>
  <si>
    <t xml:space="preserve">溜め：次のターンに魔法ダメージ大</t>
  </si>
  <si>
    <t xml:space="preserve">巨人召喚</t>
  </si>
  <si>
    <t xml:space="preserve">魔力の泉</t>
  </si>
  <si>
    <t xml:space="preserve">神獣召喚</t>
  </si>
  <si>
    <t xml:space="preserve">溜め：次のターンに魔法ダメージ特大</t>
  </si>
  <si>
    <t xml:space="preserve">冊数合計</t>
  </si>
  <si>
    <t xml:space="preserve">うちレア本</t>
  </si>
  <si>
    <t xml:space="preserve">技の部品一覧</t>
  </si>
  <si>
    <t xml:space="preserve">スキルブックはすべてこの部品の組み合わせで作る（データ駆動）。新しい本は表に1行足すだけで増やせる</t>
  </si>
  <si>
    <t xml:space="preserve">部品</t>
  </si>
  <si>
    <t xml:space="preserve">説明</t>
  </si>
  <si>
    <t xml:space="preserve">効果</t>
  </si>
  <si>
    <t xml:space="preserve">ダメージ（物理）</t>
  </si>
  <si>
    <t xml:space="preserve">攻撃力をもとにダメージ</t>
  </si>
  <si>
    <t xml:space="preserve">ダメージ（魔法）</t>
  </si>
  <si>
    <t xml:space="preserve">魔力をもとにダメージ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</si>
  <si>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回復</t>
    </r>
  </si>
  <si>
    <t xml:space="preserve">精神をもとにHPを回復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</si>
  <si>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回復</t>
    </r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</si>
  <si>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を回復</t>
    </r>
  </si>
  <si>
    <t xml:space="preserve">戦闘不能を復活</t>
  </si>
  <si>
    <t xml:space="preserve">吸収</t>
  </si>
  <si>
    <t xml:space="preserve">与えたダメージの一部だけHP回復</t>
  </si>
  <si>
    <t xml:space="preserve">状態異常をかける</t>
  </si>
  <si>
    <t xml:space="preserve">毒・やけど・混乱・スタン</t>
  </si>
  <si>
    <t xml:space="preserve">状態異常を治す／防ぐ</t>
  </si>
  <si>
    <t xml:space="preserve">ステータスを上げる／下げる</t>
  </si>
  <si>
    <r>
      <rPr>
        <sz val="11"/>
        <rFont val="Meiryo"/>
        <family val="0"/>
        <charset val="1"/>
      </rPr>
      <t xml:space="preserve">7</t>
    </r>
    <r>
      <rPr>
        <sz val="11"/>
        <rFont val="Noto Sans CJK SC"/>
        <family val="2"/>
      </rPr>
      <t xml:space="preserve">ステータスのどれか</t>
    </r>
  </si>
  <si>
    <t xml:space="preserve">強化を打ち消す</t>
  </si>
  <si>
    <t xml:space="preserve">敵にかかった強化を消す</t>
  </si>
  <si>
    <t xml:space="preserve">クリティカル</t>
  </si>
  <si>
    <t xml:space="preserve">必ず大ダメージになる</t>
  </si>
  <si>
    <t xml:space="preserve">報酬を得る</t>
  </si>
  <si>
    <t xml:space="preserve">お金・アイテムを奪う、報酬アップ</t>
  </si>
  <si>
    <t xml:space="preserve">単体／全体／前列／自分／ランダム／味方単体／味方全体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</si>
  <si>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消費（小・中・大・全部）／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消費（小・中・大）／なし</t>
    </r>
  </si>
  <si>
    <t xml:space="preserve">特殊な動き</t>
  </si>
  <si>
    <t xml:space="preserve">溜め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</si>
  <si>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ターン使って、次の行動を強化 </t>
    </r>
    <r>
      <rPr>
        <sz val="11"/>
        <rFont val="Meiryo"/>
        <family val="0"/>
        <charset val="1"/>
      </rPr>
      <t xml:space="preserve">or </t>
    </r>
    <r>
      <rPr>
        <sz val="11"/>
        <rFont val="Noto Sans CJK SC"/>
        <family val="2"/>
      </rPr>
      <t xml:space="preserve">次のターンに発動</t>
    </r>
  </si>
  <si>
    <t xml:space="preserve">複数回攻撃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</si>
  <si>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回の行動で何回も攻撃</t>
    </r>
  </si>
  <si>
    <t xml:space="preserve">連続行動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</si>
  <si>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ターンに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回以上行動する</t>
    </r>
  </si>
  <si>
    <t xml:space="preserve">行動順を早める／遅らせる</t>
  </si>
  <si>
    <t xml:space="preserve">仲間への攻撃を代わりに受ける</t>
  </si>
  <si>
    <t xml:space="preserve">敵の攻撃を自分に集める</t>
  </si>
  <si>
    <t xml:space="preserve">反撃</t>
  </si>
  <si>
    <t xml:space="preserve">攻撃されたら自動でやり返す</t>
  </si>
  <si>
    <t xml:space="preserve">回避</t>
  </si>
  <si>
    <t xml:space="preserve">攻撃をかわす</t>
  </si>
  <si>
    <t xml:space="preserve">数ターン続く効果</t>
  </si>
  <si>
    <t xml:space="preserve">効果がその場に残り続ける（召喚もこれで表現）</t>
  </si>
  <si>
    <t xml:space="preserve">条件</t>
  </si>
  <si>
    <t xml:space="preserve">威力が変わる条件</t>
  </si>
  <si>
    <t xml:space="preserve">自分のHPが低いほど／敵のHPが少ない・多いほど／状態異常の敵に／状態異常の数だけ／素早さが高いほど／防御力が高いほど／強化の数だけ／場に残る効果の数だけ など</t>
  </si>
  <si>
    <t xml:space="preserve">状態異常（仮案）</t>
  </si>
  <si>
    <t xml:space="preserve">状態異常＝キャラにかかる悪い効果</t>
  </si>
  <si>
    <t xml:space="preserve">毎ターン少しずつダメージ</t>
  </si>
  <si>
    <t xml:space="preserve">毎ターンダメージ＋攻撃力ダウン</t>
  </si>
  <si>
    <t xml:space="preserve">敵味方の区別なく攻撃してしまう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</si>
  <si>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回行動できなくなる</t>
    </r>
  </si>
  <si>
    <t xml:space="preserve">アクセサリー一覧（叩き台）</t>
  </si>
  <si>
    <t xml:space="preserve">誰でも装備可・1人2枠。戦い方そのものを変える。★＝レア（オレンジ）。数値は試作で調整</t>
  </si>
  <si>
    <t xml:space="preserve">デメリット</t>
  </si>
  <si>
    <t xml:space="preserve">相性のいいビルド</t>
  </si>
  <si>
    <t xml:space="preserve">対象を変える</t>
  </si>
  <si>
    <t xml:space="preserve">拡散の指輪</t>
  </si>
  <si>
    <t xml:space="preserve">単体の技が全体になる</t>
  </si>
  <si>
    <t xml:space="preserve">威力半減</t>
  </si>
  <si>
    <t xml:space="preserve">黒魔道士・一撃型／白魔道士・回復型</t>
  </si>
  <si>
    <t xml:space="preserve">集束のお守り</t>
  </si>
  <si>
    <t xml:space="preserve">全体の技が単体になる</t>
  </si>
  <si>
    <t xml:space="preserve">—（威力1.5倍）</t>
  </si>
  <si>
    <t xml:space="preserve">黒魔道士・範囲型／狩人・弾幕型</t>
  </si>
  <si>
    <t xml:space="preserve">前衛の紋章</t>
  </si>
  <si>
    <t xml:space="preserve">前列が対象の技が全体になる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</si>
  <si>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</t>
    </r>
    <r>
      <rPr>
        <sz val="11"/>
        <rFont val="Meiryo"/>
        <family val="0"/>
        <charset val="1"/>
      </rPr>
      <t xml:space="preserve">1.5</t>
    </r>
    <r>
      <rPr>
        <sz val="11"/>
        <rFont val="Noto Sans CJK SC"/>
        <family val="2"/>
      </rPr>
      <t xml:space="preserve">倍</t>
    </r>
  </si>
  <si>
    <t xml:space="preserve">戦士・豪腕型／侍・居合型</t>
  </si>
  <si>
    <t xml:space="preserve">気まぐれのサイコロ</t>
  </si>
  <si>
    <t xml:space="preserve">単体の技がランダムな敵に2回当たる</t>
  </si>
  <si>
    <t xml:space="preserve">狙う相手を選べない</t>
  </si>
  <si>
    <t xml:space="preserve">踊り子・剣舞型／盗賊・毒刃型</t>
  </si>
  <si>
    <t xml:space="preserve">分け身の鏡</t>
  </si>
  <si>
    <t xml:space="preserve">味方単体への技が味方全体になる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</si>
  <si>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倍</t>
    </r>
  </si>
  <si>
    <t xml:space="preserve">吟遊詩人・英雄譚型／白魔道士・回復型</t>
  </si>
  <si>
    <t xml:space="preserve">コストを変える</t>
  </si>
  <si>
    <t xml:space="preserve">血の契約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</si>
  <si>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消費の代わりに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を消費する</t>
    </r>
  </si>
  <si>
    <t xml:space="preserve">暗黒騎士・捨て身型／黒魔道士</t>
  </si>
  <si>
    <t xml:space="preserve">節約の腕輪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</si>
  <si>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</t>
    </r>
    <r>
      <rPr>
        <sz val="11"/>
        <rFont val="Meiryo"/>
        <family val="0"/>
        <charset val="1"/>
      </rPr>
      <t xml:space="preserve">30%</t>
    </r>
    <r>
      <rPr>
        <sz val="11"/>
        <rFont val="Noto Sans CJK SC"/>
        <family val="2"/>
      </rPr>
      <t xml:space="preserve">減</t>
    </r>
  </si>
  <si>
    <t xml:space="preserve">威力20%減</t>
  </si>
  <si>
    <t xml:space="preserve">赤魔道士・万能型／召喚士</t>
  </si>
  <si>
    <t xml:space="preserve">魔力の借金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</si>
  <si>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が足りなくても技が使える（足りない分は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で払う）</t>
    </r>
  </si>
  <si>
    <t xml:space="preserve">黒魔道士・範囲型／召喚士・大召喚型</t>
  </si>
  <si>
    <t xml:space="preserve">生命の泉石</t>
  </si>
  <si>
    <t xml:space="preserve">戦闘終了時にMP回復小</t>
  </si>
  <si>
    <t xml:space="preserve">全般</t>
  </si>
  <si>
    <t xml:space="preserve">無限の杯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</si>
  <si>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消費</t>
    </r>
    <r>
      <rPr>
        <sz val="11"/>
        <rFont val="Meiryo"/>
        <family val="0"/>
        <charset val="1"/>
      </rPr>
      <t xml:space="preserve">0</t>
    </r>
  </si>
  <si>
    <t xml:space="preserve">毎ターンHPが減る</t>
  </si>
  <si>
    <t xml:space="preserve">黒魔道士／赤魔道士・連続魔型</t>
  </si>
  <si>
    <t xml:space="preserve">条件で発動</t>
  </si>
  <si>
    <t xml:space="preserve">背水の指輪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</si>
  <si>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</t>
    </r>
    <r>
      <rPr>
        <sz val="11"/>
        <rFont val="Meiryo"/>
        <family val="0"/>
        <charset val="1"/>
      </rPr>
      <t xml:space="preserve">1/3</t>
    </r>
    <r>
      <rPr>
        <sz val="11"/>
        <rFont val="Noto Sans CJK SC"/>
        <family val="2"/>
      </rPr>
      <t xml:space="preserve">以下のとき攻撃力・魔力大アップ</t>
    </r>
  </si>
  <si>
    <t xml:space="preserve">暗黒騎士・捨て身型</t>
  </si>
  <si>
    <t xml:space="preserve">余裕のブローチ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</si>
  <si>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が満タンのとき威力アップ</t>
    </r>
  </si>
  <si>
    <t xml:space="preserve">騎士・聖騎士型と組んだアタッカー</t>
  </si>
  <si>
    <t xml:space="preserve">怒りの首飾り</t>
  </si>
  <si>
    <t xml:space="preserve">ダメージを受けるたび攻撃力アップ（戦闘中ずっと）</t>
  </si>
  <si>
    <t xml:space="preserve">騎士・反撃型／戦士・鼓舞型</t>
  </si>
  <si>
    <t xml:space="preserve">先駆けの羽</t>
  </si>
  <si>
    <t xml:space="preserve">戦闘開始時、行動順が最速になる</t>
  </si>
  <si>
    <t xml:space="preserve">吟遊詩人・疾風歌型／盗賊・速攻型</t>
  </si>
  <si>
    <t xml:space="preserve">狩人の勘</t>
  </si>
  <si>
    <t xml:space="preserve">敵を倒すと次の行動順が早まる</t>
  </si>
  <si>
    <t xml:space="preserve">狩人・狙撃型／侍・疾風型</t>
  </si>
  <si>
    <t xml:space="preserve">弔いの指輪</t>
  </si>
  <si>
    <t xml:space="preserve">仲間が戦闘不能になると全ステータス大アップ</t>
  </si>
  <si>
    <t xml:space="preserve">孤高の指輪</t>
  </si>
  <si>
    <t xml:space="preserve">自分以外が全員戦闘不能（またはソロ）のとき全ステータス特大アップ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</si>
  <si>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層のソロ主人公／最後の砦役</t>
    </r>
  </si>
  <si>
    <t xml:space="preserve">不死鳥の羽</t>
  </si>
  <si>
    <t xml:space="preserve">戦闘中1回だけ、戦闘不能になる攻撃をHP1で耐える</t>
  </si>
  <si>
    <t xml:space="preserve">毒牙のピアス</t>
  </si>
  <si>
    <t xml:space="preserve">物理攻撃に毒がつく</t>
  </si>
  <si>
    <t xml:space="preserve">盗賊・毒刃型／暗黒騎士・呪い剣型</t>
  </si>
  <si>
    <t xml:space="preserve">炎の指輪</t>
  </si>
  <si>
    <t xml:space="preserve">魔法攻撃にやけどがつく</t>
  </si>
  <si>
    <t xml:space="preserve">黒魔道士／赤魔道士・魔法剣型</t>
  </si>
  <si>
    <t xml:space="preserve">混沌のお守り</t>
  </si>
  <si>
    <t xml:space="preserve">攻撃時に低確率で混乱させる</t>
  </si>
  <si>
    <t xml:space="preserve">踊り子・剣舞型</t>
  </si>
  <si>
    <t xml:space="preserve">毒使いの手袋</t>
  </si>
  <si>
    <t xml:space="preserve">自分がかけた毒のダメージアップ</t>
  </si>
  <si>
    <t xml:space="preserve">呪術師・毒型／盗賊・毒刃型</t>
  </si>
  <si>
    <t xml:space="preserve">疫病の王冠</t>
  </si>
  <si>
    <t xml:space="preserve">自分がかけた状態異常の継続ターン2倍</t>
  </si>
  <si>
    <t xml:space="preserve">呪術師・呪殺型／錬金術師・劇薬型</t>
  </si>
  <si>
    <t xml:space="preserve">呪われた首輪</t>
  </si>
  <si>
    <t xml:space="preserve">常に毒状態</t>
  </si>
  <si>
    <t xml:space="preserve">暗黒騎士・吸血型（吸収で相殺）</t>
  </si>
  <si>
    <t xml:space="preserve">逆転の紋章</t>
  </si>
  <si>
    <t xml:space="preserve">自分が状態異常のとき威力アップ</t>
  </si>
  <si>
    <t xml:space="preserve">呪われた首輪と組み合わせ</t>
  </si>
  <si>
    <t xml:space="preserve">毒除けのお守り</t>
  </si>
  <si>
    <t xml:space="preserve">毒にかからない</t>
  </si>
  <si>
    <t xml:space="preserve">万能のお守り</t>
  </si>
  <si>
    <t xml:space="preserve">行動を変える</t>
  </si>
  <si>
    <t xml:space="preserve">瞬きの指輪</t>
  </si>
  <si>
    <t xml:space="preserve">溜めが不要になる</t>
  </si>
  <si>
    <t xml:space="preserve">威力30%減</t>
  </si>
  <si>
    <t xml:space="preserve">侍・居合型／召喚士・大召喚型</t>
  </si>
  <si>
    <t xml:space="preserve">忍耐の帯</t>
  </si>
  <si>
    <t xml:space="preserve">溜め技の威力がさらにアップ</t>
  </si>
  <si>
    <t xml:space="preserve">侍・居合型／戦士・豪腕型</t>
  </si>
  <si>
    <t xml:space="preserve">双子の指輪</t>
  </si>
  <si>
    <t xml:space="preserve">複数回攻撃の回数＋1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</si>
  <si>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回ごとの威力ダウン</t>
    </r>
  </si>
  <si>
    <t xml:space="preserve">戦士・連撃型／踊り子・剣舞型</t>
  </si>
  <si>
    <t xml:space="preserve">吸血の牙</t>
  </si>
  <si>
    <t xml:space="preserve">物理攻撃に吸収がつく</t>
  </si>
  <si>
    <t xml:space="preserve">暗黒騎士・吸血型</t>
  </si>
  <si>
    <t xml:space="preserve">反射の盾片</t>
  </si>
  <si>
    <t xml:space="preserve">反撃の威力アップ</t>
  </si>
  <si>
    <t xml:space="preserve">騎士・反撃型／狩人・罠型</t>
  </si>
  <si>
    <t xml:space="preserve">影の外套</t>
  </si>
  <si>
    <t xml:space="preserve">回避アップ</t>
  </si>
  <si>
    <t xml:space="preserve">防御ダウン</t>
  </si>
  <si>
    <t xml:space="preserve">侍・見切り型／盗賊・速攻型</t>
  </si>
  <si>
    <t xml:space="preserve">挑発の角笛</t>
  </si>
  <si>
    <t xml:space="preserve">常に挑発状態になる</t>
  </si>
  <si>
    <t xml:space="preserve">騎士・守護型</t>
  </si>
  <si>
    <t xml:space="preserve">守り手の誓い</t>
  </si>
  <si>
    <t xml:space="preserve">かばうときに受けるダメージ半減</t>
  </si>
  <si>
    <t xml:space="preserve">長き調べの笛</t>
  </si>
  <si>
    <t xml:space="preserve">数ターン続く効果のターン数＋1</t>
  </si>
  <si>
    <t xml:space="preserve">吟遊詩人・守護歌型／召喚士・精霊型</t>
  </si>
  <si>
    <t xml:space="preserve">時の砂時計</t>
  </si>
  <si>
    <t xml:space="preserve">戦闘の最初のターンだけ連続行動できる</t>
  </si>
  <si>
    <t xml:space="preserve">回復・支援</t>
  </si>
  <si>
    <t xml:space="preserve">慈愛のロザリオ</t>
  </si>
  <si>
    <t xml:space="preserve">回復量アップ</t>
  </si>
  <si>
    <t xml:space="preserve">白魔道士・回復型／錬金術師・薬師型</t>
  </si>
  <si>
    <t xml:space="preserve">祈りの数珠</t>
  </si>
  <si>
    <t xml:space="preserve">毎ターンHP少し回復</t>
  </si>
  <si>
    <t xml:space="preserve">聖者の加護</t>
  </si>
  <si>
    <t xml:space="preserve">自分の蘇生で復活した仲間のHPが半分になる</t>
  </si>
  <si>
    <t xml:space="preserve">白魔道士・回復型</t>
  </si>
  <si>
    <t xml:space="preserve">歌い手の喉飾り</t>
  </si>
  <si>
    <t xml:space="preserve">自分がかける強化の効果アップ</t>
  </si>
  <si>
    <t xml:space="preserve">吟遊詩人／踊り子・応援型</t>
  </si>
  <si>
    <t xml:space="preserve">共鳴の鈴</t>
  </si>
  <si>
    <t xml:space="preserve">味方にかけた強化を自分にもかける</t>
  </si>
  <si>
    <t xml:space="preserve">吟遊詩人・英雄譚型</t>
  </si>
  <si>
    <t xml:space="preserve">天使の輪</t>
  </si>
  <si>
    <t xml:space="preserve">回復した量の一部が味方全体にも届く</t>
  </si>
  <si>
    <t xml:space="preserve">守り</t>
  </si>
  <si>
    <t xml:space="preserve">前衛の鎧飾り</t>
  </si>
  <si>
    <t xml:space="preserve">前列にいるとき防御大アップ</t>
  </si>
  <si>
    <t xml:space="preserve">騎士／戦士</t>
  </si>
  <si>
    <t xml:space="preserve">後衛のマント</t>
  </si>
  <si>
    <t xml:space="preserve">後列にいるとき回避アップ</t>
  </si>
  <si>
    <t xml:space="preserve">魔法系全般／狩人</t>
  </si>
  <si>
    <t xml:space="preserve">魔法障壁の護符</t>
  </si>
  <si>
    <t xml:space="preserve">魔法ダメージ軽減</t>
  </si>
  <si>
    <t xml:space="preserve">根性のハチマキ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</si>
  <si>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が満タンのとき、一撃で倒れない</t>
    </r>
  </si>
  <si>
    <t xml:space="preserve">黒魔道士など打たれ弱い職業</t>
  </si>
  <si>
    <t xml:space="preserve">身代わり人形</t>
  </si>
  <si>
    <t xml:space="preserve">戦闘不能になる攻撃を1回だけ無効にして壊れる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</si>
  <si>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回使うとなくなる</t>
    </r>
  </si>
  <si>
    <t xml:space="preserve">お金・報酬</t>
  </si>
  <si>
    <t xml:space="preserve">金運の財布</t>
  </si>
  <si>
    <t xml:space="preserve">戦闘で得るお金アップ</t>
  </si>
  <si>
    <t xml:space="preserve">盗賊・強奪型</t>
  </si>
  <si>
    <t xml:space="preserve">値切りの口上</t>
  </si>
  <si>
    <t xml:space="preserve">ショップで安く買える</t>
  </si>
  <si>
    <t xml:space="preserve">商人の秤</t>
  </si>
  <si>
    <t xml:space="preserve">ショップでの売値アップ</t>
  </si>
  <si>
    <t xml:space="preserve">目利きの眼鏡</t>
  </si>
  <si>
    <t xml:space="preserve">戦闘後の報酬にスキルブックが出やすい</t>
  </si>
  <si>
    <t xml:space="preserve">欲張りの袋</t>
  </si>
  <si>
    <t xml:space="preserve">持ち物の上限＋2</t>
  </si>
  <si>
    <t xml:space="preserve">黄金の手</t>
  </si>
  <si>
    <t xml:space="preserve">攻撃するたびにお金を得る</t>
  </si>
  <si>
    <t xml:space="preserve">盗賊・強奪型／踊り子・剣舞型</t>
  </si>
  <si>
    <t xml:space="preserve">ハイリスク</t>
  </si>
  <si>
    <t xml:space="preserve">ガラスの剣飾り</t>
  </si>
  <si>
    <t xml:space="preserve">攻撃力・魔力特大アップ</t>
  </si>
  <si>
    <t xml:space="preserve">最大HPが半分</t>
  </si>
  <si>
    <t xml:space="preserve">後列のアタッカー</t>
  </si>
  <si>
    <t xml:space="preserve">鈍重の鎖</t>
  </si>
  <si>
    <t xml:space="preserve">防御大アップ</t>
  </si>
  <si>
    <t xml:space="preserve">賭博師のコイン</t>
  </si>
  <si>
    <t xml:space="preserve">技の威力が50%で2倍</t>
  </si>
  <si>
    <r>
      <rPr>
        <sz val="11"/>
        <rFont val="Meiryo"/>
        <family val="0"/>
        <charset val="1"/>
      </rPr>
      <t xml:space="preserve">50%</t>
    </r>
    <r>
      <rPr>
        <sz val="11"/>
        <rFont val="Noto Sans CJK SC"/>
        <family val="2"/>
      </rPr>
      <t xml:space="preserve">で半分</t>
    </r>
  </si>
  <si>
    <t xml:space="preserve">寡黙の指輪</t>
  </si>
  <si>
    <t xml:space="preserve">味方からの回復・強化を受けられない</t>
  </si>
  <si>
    <t xml:space="preserve">狂戦士の仮面</t>
  </si>
  <si>
    <t xml:space="preserve">攻撃力特大アップ</t>
  </si>
  <si>
    <t xml:space="preserve">通常攻撃しかできない（コマンドを選べない）</t>
  </si>
  <si>
    <t xml:space="preserve">戦士・連撃型（双子の指輪と）</t>
  </si>
  <si>
    <t xml:space="preserve">力の指輪</t>
  </si>
  <si>
    <t xml:space="preserve">守りの指輪</t>
  </si>
  <si>
    <t xml:space="preserve">魔力の指輪</t>
  </si>
  <si>
    <t xml:space="preserve">精神の指輪</t>
  </si>
  <si>
    <t xml:space="preserve">疾風の指輪</t>
  </si>
  <si>
    <t xml:space="preserve">生命の指輪</t>
  </si>
  <si>
    <t xml:space="preserve">最大HPアップ</t>
  </si>
  <si>
    <t xml:space="preserve">魔素の指輪</t>
  </si>
  <si>
    <t xml:space="preserve">最大MPアップ</t>
  </si>
  <si>
    <t xml:space="preserve">個数合計</t>
  </si>
  <si>
    <t xml:space="preserve">うちレア</t>
  </si>
  <si>
    <t xml:space="preserve">アクセサリーの部品一覧</t>
  </si>
  <si>
    <t xml:space="preserve">アクセサリーも部品の組み合わせで作る。技の部品（「部品」シート）も流用する</t>
  </si>
  <si>
    <t xml:space="preserve">常に効く</t>
  </si>
  <si>
    <t xml:space="preserve">最大HP・最大MPを含む7ステータス</t>
  </si>
  <si>
    <t xml:space="preserve">常に状態になる</t>
  </si>
  <si>
    <t xml:space="preserve">挑発状態、毒状態など</t>
  </si>
  <si>
    <t xml:space="preserve">受けられない</t>
  </si>
  <si>
    <t xml:space="preserve">回復・強化を受けられない など</t>
  </si>
  <si>
    <t xml:space="preserve">コマンド制限</t>
  </si>
  <si>
    <t xml:space="preserve">通常攻撃しかできない など</t>
  </si>
  <si>
    <t xml:space="preserve">きっかけ</t>
  </si>
  <si>
    <t xml:space="preserve">〜のとき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</si>
  <si>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が一定以下／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満タン／状態異常のとき／前列・後列にいるとき／ソロのとき／仲間が倒れたとき</t>
    </r>
  </si>
  <si>
    <t xml:space="preserve">〜したとき</t>
  </si>
  <si>
    <t xml:space="preserve">攻撃したとき／ダメージを受けたとき／敵を倒したとき／戦闘開始時／戦闘終了時</t>
  </si>
  <si>
    <t xml:space="preserve">技を変える</t>
  </si>
  <si>
    <t xml:space="preserve">単体→全体、全体→単体、味方単体→味方全体 など</t>
  </si>
  <si>
    <r>
      <rPr>
        <sz val="11"/>
        <rFont val="Meiryo"/>
        <family val="0"/>
        <charset val="1"/>
      </rPr>
      <t xml:space="preserve">MP→HP</t>
    </r>
    <r>
      <rPr>
        <sz val="11"/>
        <rFont val="Noto Sans CJK SC"/>
        <family val="2"/>
      </rPr>
      <t xml:space="preserve">、消費量の増減、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不足を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で払う</t>
    </r>
  </si>
  <si>
    <t xml:space="preserve">威力を変える</t>
  </si>
  <si>
    <t xml:space="preserve">倍率をかける／確率で変える</t>
  </si>
  <si>
    <t xml:space="preserve">回数・溜め・継続ターンを変える</t>
  </si>
  <si>
    <t xml:space="preserve">複数回攻撃＋1、溜め不要、継続ターン＋1</t>
  </si>
  <si>
    <t xml:space="preserve">攻撃に付け足す</t>
  </si>
  <si>
    <t xml:space="preserve">毒・やけど・吸収・混乱などを攻撃に乗せる</t>
  </si>
  <si>
    <t xml:space="preserve">回数制限</t>
  </si>
  <si>
    <t xml:space="preserve">戦闘中1回／ランで1回</t>
  </si>
  <si>
    <t xml:space="preserve">不死鳥の羽、身代わり人形など</t>
  </si>
  <si>
    <t xml:space="preserve">お金・売値・買値・報酬の出やすさ・持ち物上限</t>
  </si>
  <si>
    <t xml:space="preserve">アイテム一覧（叩き台）</t>
  </si>
  <si>
    <t xml:space="preserve">使うとなくなる消耗品。★＝レア（ショップに並びにくい）。値段・効果量は試作で調整</t>
  </si>
  <si>
    <t xml:space="preserve">値段の目安</t>
  </si>
  <si>
    <t xml:space="preserve">薬草</t>
  </si>
  <si>
    <t xml:space="preserve">安い</t>
  </si>
  <si>
    <t xml:space="preserve">普通</t>
  </si>
  <si>
    <t xml:space="preserve">上級回復薬</t>
  </si>
  <si>
    <t xml:space="preserve">高い</t>
  </si>
  <si>
    <t xml:space="preserve">回復の霧</t>
  </si>
  <si>
    <t xml:space="preserve">魔力の水</t>
  </si>
  <si>
    <t xml:space="preserve">魔力の結晶</t>
  </si>
  <si>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回復大</t>
    </r>
  </si>
  <si>
    <t xml:space="preserve">気付け薬</t>
  </si>
  <si>
    <r>
      <rPr>
        <sz val="11"/>
        <rFont val="Noto Sans CJK SC"/>
        <family val="2"/>
      </rPr>
      <t xml:space="preserve">蘇生（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わずか）</t>
    </r>
  </si>
  <si>
    <t xml:space="preserve">命の雫</t>
  </si>
  <si>
    <r>
      <rPr>
        <sz val="11"/>
        <rFont val="Noto Sans CJK SC"/>
        <family val="2"/>
      </rPr>
      <t xml:space="preserve">蘇生＋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全回復</t>
    </r>
  </si>
  <si>
    <t xml:space="preserve">とても高い</t>
  </si>
  <si>
    <t xml:space="preserve">毒消し</t>
  </si>
  <si>
    <t xml:space="preserve">毒を治す</t>
  </si>
  <si>
    <t xml:space="preserve">火傷薬</t>
  </si>
  <si>
    <t xml:space="preserve">やけどを治す</t>
  </si>
  <si>
    <t xml:space="preserve">気付けの鈴</t>
  </si>
  <si>
    <t xml:space="preserve">混乱・スタンを治す</t>
  </si>
  <si>
    <t xml:space="preserve">万能薬</t>
  </si>
  <si>
    <t xml:space="preserve">状態異常をすべて治す</t>
  </si>
  <si>
    <t xml:space="preserve">全回復</t>
  </si>
  <si>
    <t xml:space="preserve">エリクサー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</si>
  <si>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全回復＋状態異常を治す</t>
    </r>
  </si>
  <si>
    <t xml:space="preserve">戦闘用</t>
  </si>
  <si>
    <t xml:space="preserve">火炎石</t>
  </si>
  <si>
    <t xml:space="preserve">ダメージ中＋やけど</t>
  </si>
  <si>
    <t xml:space="preserve">毒の小瓶</t>
  </si>
  <si>
    <t xml:space="preserve">雷の玉</t>
  </si>
  <si>
    <t xml:space="preserve">ダメージ小</t>
  </si>
  <si>
    <t xml:space="preserve">眠り粉</t>
  </si>
  <si>
    <t xml:space="preserve">目くらまし</t>
  </si>
  <si>
    <t xml:space="preserve">強化</t>
  </si>
  <si>
    <t xml:space="preserve">力の秘薬</t>
  </si>
  <si>
    <t xml:space="preserve">攻撃力アップ（戦闘中）</t>
  </si>
  <si>
    <t xml:space="preserve">守りの秘薬</t>
  </si>
  <si>
    <t xml:space="preserve">防御力アップ（戦闘中）</t>
  </si>
  <si>
    <t xml:space="preserve">俊足の秘薬</t>
  </si>
  <si>
    <t xml:space="preserve">素早さアップ（戦闘中）</t>
  </si>
  <si>
    <t xml:space="preserve">英雄の秘薬</t>
  </si>
  <si>
    <t xml:space="preserve">全ステータスアップ（戦闘中）</t>
  </si>
  <si>
    <t xml:space="preserve">その他</t>
  </si>
  <si>
    <t xml:space="preserve">煙玉</t>
  </si>
  <si>
    <t xml:space="preserve">通常戦闘から逃げる（報酬なし・強敵／ボスには使えない）</t>
  </si>
  <si>
    <t xml:space="preserve">休息のテント</t>
  </si>
  <si>
    <t xml:space="preserve">戦闘外で使用。休憩所と同じ効果</t>
  </si>
  <si>
    <t xml:space="preserve">成長の実</t>
  </si>
  <si>
    <r>
      <rPr>
        <sz val="11"/>
        <rFont val="Noto Sans CJK SC"/>
        <family val="2"/>
      </rPr>
      <t xml:space="preserve">レベルを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上げる</t>
    </r>
  </si>
  <si>
    <t xml:space="preserve">この構成から生まれる面白さ</t>
  </si>
  <si>
    <t xml:space="preserve">ポイント</t>
  </si>
  <si>
    <t xml:space="preserve">ビルドの幅</t>
  </si>
  <si>
    <t xml:space="preserve">主人公も職業を選べて、仲間もかぶりありなので、同じ職業で固める極端なビルドからバランス型まで幅広く組める</t>
  </si>
  <si>
    <t xml:space="preserve">先を見越した判断</t>
  </si>
  <si>
    <t xml:space="preserve">職業ごとのスキルブックを「次に来る仲間」を見越して持ち歩くか、ショップで売るかという判断が生まれる</t>
  </si>
  <si>
    <t xml:space="preserve">ルート選び</t>
  </si>
  <si>
    <t xml:space="preserve">戦えば経験値やお金が手に入るが、HP・MPは持ち越しで削られる。安全な道か、稼ぐ道かを毎回選ぶ</t>
  </si>
  <si>
    <t xml:space="preserve">リソース管理</t>
  </si>
  <si>
    <t xml:space="preserve">回復手段が限られるため、MPの使いどころや回復アイテム・蘇生手段の確保が重要になる</t>
  </si>
  <si>
    <t xml:space="preserve">取捨選択</t>
  </si>
  <si>
    <t xml:space="preserve">持ち物の上限とスキル枠の上限があるので、何を持ち歩き、何を覚えるかが毎回の悩みどころになる</t>
  </si>
  <si>
    <t xml:space="preserve">組み合わせで化ける</t>
  </si>
  <si>
    <t xml:space="preserve">アクセサリー2枠の組み合わせで戦い方そのものを変えられる</t>
  </si>
  <si>
    <t xml:space="preserve">行動順の読み</t>
  </si>
  <si>
    <t xml:space="preserve">行動順が見えるので、敵の大技の前に守る・回復するなどの作戦が立てられる</t>
  </si>
  <si>
    <t xml:space="preserve">用語集</t>
  </si>
  <si>
    <t xml:space="preserve">用語</t>
  </si>
  <si>
    <t xml:space="preserve">意味</t>
  </si>
  <si>
    <t xml:space="preserve">コマンドRPG</t>
  </si>
  <si>
    <t xml:space="preserve">メニューから「たたかう／まほう／どうぐ」などの行動を選んで戦うRPG</t>
  </si>
  <si>
    <t xml:space="preserve">ローグライク</t>
  </si>
  <si>
    <t xml:space="preserve">マップが毎回ランダム生成され、死んだら最初からやり直しになるゲームのジャンル</t>
  </si>
  <si>
    <t xml:space="preserve">ローグライト</t>
  </si>
  <si>
    <t xml:space="preserve">ローグライクの要素をゆるめたもの。死んでも一部の成長が次に引き継がれる</t>
  </si>
  <si>
    <t xml:space="preserve">ラン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</si>
  <si>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回の挑戦（スタートから死亡 </t>
    </r>
    <r>
      <rPr>
        <sz val="11"/>
        <rFont val="Meiryo"/>
        <family val="0"/>
        <charset val="1"/>
      </rPr>
      <t xml:space="preserve">or </t>
    </r>
    <r>
      <rPr>
        <sz val="11"/>
        <rFont val="Noto Sans CJK SC"/>
        <family val="2"/>
      </rPr>
      <t xml:space="preserve">クリアまで）</t>
    </r>
  </si>
  <si>
    <t xml:space="preserve">ビルド</t>
  </si>
  <si>
    <t xml:space="preserve">職業・装備・スキルなどの組み合わせで作る「戦い方の構成」</t>
  </si>
  <si>
    <t xml:space="preserve">シナジー</t>
  </si>
  <si>
    <t xml:space="preserve">組み合わせることで生まれる相乗効果</t>
  </si>
  <si>
    <t xml:space="preserve">職業の大きな分類（剣士系・魔法系・技巧系・支援系）。武器・防具の装備制限に使う</t>
  </si>
  <si>
    <t xml:space="preserve">敵の攻撃を引き受けて仲間を守る役</t>
  </si>
  <si>
    <t xml:space="preserve">ダメージを出す役</t>
  </si>
  <si>
    <t xml:space="preserve">回復する役</t>
  </si>
  <si>
    <t xml:space="preserve">バッファー／デバッファー</t>
  </si>
  <si>
    <t xml:space="preserve">味方を強化する（バフ）／敵を弱体化する（デバフ）役</t>
  </si>
  <si>
    <t xml:space="preserve">器用貧乏</t>
  </si>
  <si>
    <t xml:space="preserve">なんでもできるけれど、どれも突出しないこと</t>
  </si>
  <si>
    <t xml:space="preserve">パッシブ</t>
  </si>
  <si>
    <t xml:space="preserve">自分で選ばなくても常に発動している効果</t>
  </si>
  <si>
    <t xml:space="preserve">アイテムや本の珍しさのランク。レアなものほど出にくく強い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</si>
  <si>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</t>
    </r>
    <r>
      <rPr>
        <sz val="11"/>
        <rFont val="Meiryo"/>
        <family val="0"/>
        <charset val="1"/>
      </rPr>
      <t xml:space="preserve">MP</t>
    </r>
    <r>
      <rPr>
        <sz val="11"/>
        <rFont val="Noto Sans CJK SC"/>
        <family val="2"/>
      </rPr>
      <t xml:space="preserve">・お金・アイテムなど限られた資源をやりくりすること</t>
    </r>
  </si>
  <si>
    <t xml:space="preserve">パーティーの並び（このゲームでは前列・後列）</t>
  </si>
  <si>
    <t xml:space="preserve">指輪やお守りなど、特殊な効果を持つ装飾品</t>
  </si>
  <si>
    <t xml:space="preserve">ノード（マス）</t>
  </si>
  <si>
    <t xml:space="preserve">マップ上の地点。戦闘・休憩所・ショップなどの種類がある</t>
  </si>
  <si>
    <t xml:space="preserve">エリート</t>
  </si>
  <si>
    <t xml:space="preserve">普通の敵より強いが、報酬も豪華な強敵</t>
  </si>
  <si>
    <t xml:space="preserve">アンロック</t>
  </si>
  <si>
    <t xml:space="preserve">遊ぶほど新しい要素が解放されること（このゲームでは採用しない）</t>
  </si>
  <si>
    <t xml:space="preserve">パーマデス</t>
  </si>
  <si>
    <t xml:space="preserve">倒れたキャラが永久に戻らないこと</t>
  </si>
  <si>
    <t xml:space="preserve">ビルドの方向性（アーキタイプ）</t>
  </si>
  <si>
    <t xml:space="preserve">その職業での戦い方の型</t>
  </si>
  <si>
    <t xml:space="preserve">データ駆動</t>
  </si>
  <si>
    <t xml:space="preserve">プログラムを書き換えず、データを足すだけで中身が増える作り方</t>
  </si>
  <si>
    <t xml:space="preserve">毒のように、キャラにかかる悪い効果</t>
  </si>
  <si>
    <t xml:space="preserve">効果と引き換えになる不利な点</t>
  </si>
  <si>
    <t xml:space="preserve">耐性・無効</t>
  </si>
  <si>
    <t xml:space="preserve">その状態異常にかかりにくい・かからないこと</t>
  </si>
  <si>
    <t xml:space="preserve">弱点</t>
  </si>
  <si>
    <t xml:space="preserve">その状態異常が効きやすく、ダメージも大きくなること</t>
  </si>
  <si>
    <t xml:space="preserve">アンデッド</t>
  </si>
  <si>
    <t xml:space="preserve">ゾンビや亡霊など、死んでも動いている敵。毒が効かないことが多い</t>
  </si>
  <si>
    <t xml:space="preserve">チュートリアル</t>
  </si>
  <si>
    <t xml:space="preserve">遊び方を覚えるための導入部分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</si>
</sst>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Meiryo"/>
      <family val="0"/>
      <charset val="1"/>
    </font>
    <font>
      <sz val="11"/>
      <name val="Noto Sans CJK SC"/>
      <family val="2"/>
    </font>
    <font>
      <b val="true"/>
      <sz val="14"/>
      <name val="Noto Sans CJK SC"/>
      <family val="2"/>
    </font>
    <font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9"/>
      <color rgb="FF666666"/>
      <name val="Meiryo"/>
      <family val="0"/>
      <charset val="1"/>
    </font>
    <font>
      <b val="true"/>
      <sz val="11"/>
      <color rgb="FFFFFFFF"/>
      <name val="Meiryo"/>
      <family val="0"/>
      <charset val="1"/>
    </font>
    <font>
      <b val="true"/>
      <sz val="11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B4A6B"/>
        <bgColor rgb="FF333333"/>
      </patternFill>
    </fill>
    <fill>
      <patternFill patternType="solid">
        <fgColor rgb="FFFFF4CC"/>
        <bgColor rgb="FFFBE5D6"/>
      </patternFill>
    </fill>
    <fill>
      <patternFill patternType="solid">
        <fgColor rgb="FFE3F1E3"/>
        <bgColor rgb="FFFBE5D6"/>
      </patternFill>
    </fill>
    <fill>
      <patternFill patternType="solid">
        <fgColor rgb="FFFBE5D6"/>
        <bgColor rgb="FFFFF4CC"/>
      </patternFill>
    </fill>
    <fill>
      <patternFill patternType="solid">
        <fgColor rgb="FFF4CC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6B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3"/>
      <rgbColor rgb="FFFBE5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B4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0"/>
    <col collapsed="false" customWidth="true" hidden="false" outlineLevel="0" max="3" min="3" style="1" width="48"/>
    <col collapsed="false" customWidth="true" hidden="false" outlineLevel="0" max="4" min="4" style="1" width="8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2.25" hidden="false" customHeight="true" outlineLevel="0" collapsed="false">
      <c r="A5" s="5" t="s">
        <v>6</v>
      </c>
      <c r="B5" s="5" t="s">
        <v>7</v>
      </c>
      <c r="C5" s="5" t="s">
        <v>8</v>
      </c>
      <c r="D5" s="6" t="s">
        <v>9</v>
      </c>
    </row>
    <row r="6" customFormat="false" ht="16.5" hidden="false" customHeight="true" outlineLevel="0" collapsed="false">
      <c r="A6" s="5" t="s">
        <v>10</v>
      </c>
      <c r="B6" s="5" t="s">
        <v>11</v>
      </c>
      <c r="C6" s="5"/>
      <c r="D6" s="6" t="s">
        <v>9</v>
      </c>
    </row>
    <row r="7" customFormat="false" ht="16.5" hidden="false" customHeight="true" outlineLevel="0" collapsed="false">
      <c r="A7" s="5" t="s">
        <v>10</v>
      </c>
      <c r="B7" s="5" t="s">
        <v>12</v>
      </c>
      <c r="C7" s="5"/>
      <c r="D7" s="6" t="s">
        <v>9</v>
      </c>
    </row>
    <row r="8" customFormat="false" ht="32.25" hidden="false" customHeight="true" outlineLevel="0" collapsed="false">
      <c r="A8" s="5" t="s">
        <v>10</v>
      </c>
      <c r="B8" s="5" t="s">
        <v>13</v>
      </c>
      <c r="C8" s="5" t="s">
        <v>14</v>
      </c>
      <c r="D8" s="6" t="s">
        <v>9</v>
      </c>
    </row>
    <row r="9" customFormat="false" ht="16.5" hidden="false" customHeight="true" outlineLevel="0" collapsed="false">
      <c r="A9" s="5" t="s">
        <v>10</v>
      </c>
      <c r="B9" s="5" t="s">
        <v>15</v>
      </c>
      <c r="C9" s="5"/>
      <c r="D9" s="6" t="s">
        <v>9</v>
      </c>
    </row>
    <row r="10" customFormat="false" ht="16.5" hidden="false" customHeight="true" outlineLevel="0" collapsed="false">
      <c r="A10" s="5" t="s">
        <v>16</v>
      </c>
      <c r="B10" s="7" t="s">
        <v>17</v>
      </c>
      <c r="C10" s="5" t="s">
        <v>18</v>
      </c>
      <c r="D10" s="6" t="s">
        <v>9</v>
      </c>
    </row>
    <row r="11" customFormat="false" ht="16.5" hidden="false" customHeight="true" outlineLevel="0" collapsed="false">
      <c r="A11" s="5" t="s">
        <v>16</v>
      </c>
      <c r="B11" s="5" t="s">
        <v>19</v>
      </c>
      <c r="C11" s="7" t="s">
        <v>20</v>
      </c>
      <c r="D11" s="6" t="s">
        <v>9</v>
      </c>
    </row>
    <row r="12" customFormat="false" ht="16.5" hidden="false" customHeight="true" outlineLevel="0" collapsed="false">
      <c r="A12" s="8" t="s">
        <v>16</v>
      </c>
      <c r="B12" s="9" t="s">
        <v>21</v>
      </c>
      <c r="C12" s="8"/>
      <c r="D12" s="10" t="s">
        <v>22</v>
      </c>
    </row>
    <row r="13" customFormat="false" ht="16.5" hidden="false" customHeight="true" outlineLevel="0" collapsed="false">
      <c r="A13" s="5" t="s">
        <v>23</v>
      </c>
      <c r="B13" s="5" t="s">
        <v>24</v>
      </c>
      <c r="C13" s="5"/>
      <c r="D13" s="6" t="s">
        <v>9</v>
      </c>
    </row>
    <row r="14" customFormat="false" ht="16.5" hidden="false" customHeight="true" outlineLevel="0" collapsed="false">
      <c r="A14" s="5" t="s">
        <v>23</v>
      </c>
      <c r="B14" s="5" t="s">
        <v>25</v>
      </c>
      <c r="C14" s="7" t="s">
        <v>26</v>
      </c>
      <c r="D14" s="6" t="s">
        <v>9</v>
      </c>
    </row>
    <row r="15" customFormat="false" ht="16.5" hidden="false" customHeight="true" outlineLevel="0" collapsed="false">
      <c r="A15" s="5" t="s">
        <v>27</v>
      </c>
      <c r="B15" s="5" t="s">
        <v>28</v>
      </c>
      <c r="C15" s="5"/>
      <c r="D15" s="6" t="s">
        <v>9</v>
      </c>
    </row>
    <row r="16" customFormat="false" ht="16.5" hidden="false" customHeight="true" outlineLevel="0" collapsed="false">
      <c r="A16" s="5" t="s">
        <v>27</v>
      </c>
      <c r="B16" s="5" t="s">
        <v>29</v>
      </c>
      <c r="C16" s="5" t="s">
        <v>30</v>
      </c>
      <c r="D16" s="6" t="s">
        <v>9</v>
      </c>
    </row>
    <row r="17" customFormat="false" ht="16.5" hidden="false" customHeight="true" outlineLevel="0" collapsed="false">
      <c r="A17" s="5" t="s">
        <v>27</v>
      </c>
      <c r="B17" s="5" t="s">
        <v>31</v>
      </c>
      <c r="C17" s="5"/>
      <c r="D17" s="6" t="s">
        <v>9</v>
      </c>
    </row>
    <row r="18" customFormat="false" ht="16.5" hidden="false" customHeight="true" outlineLevel="0" collapsed="false">
      <c r="A18" s="5" t="s">
        <v>32</v>
      </c>
      <c r="B18" s="7" t="s">
        <v>33</v>
      </c>
      <c r="C18" s="5" t="s">
        <v>34</v>
      </c>
      <c r="D18" s="6" t="s">
        <v>9</v>
      </c>
    </row>
    <row r="19" customFormat="false" ht="32.25" hidden="false" customHeight="true" outlineLevel="0" collapsed="false">
      <c r="A19" s="5" t="s">
        <v>32</v>
      </c>
      <c r="B19" s="5" t="s">
        <v>35</v>
      </c>
      <c r="C19" s="5" t="s">
        <v>36</v>
      </c>
      <c r="D19" s="6" t="s">
        <v>9</v>
      </c>
    </row>
    <row r="20" customFormat="false" ht="32.25" hidden="false" customHeight="true" outlineLevel="0" collapsed="false">
      <c r="A20" s="5" t="s">
        <v>37</v>
      </c>
      <c r="B20" s="7" t="s">
        <v>38</v>
      </c>
      <c r="C20" s="5" t="s">
        <v>39</v>
      </c>
      <c r="D20" s="6" t="s">
        <v>9</v>
      </c>
    </row>
    <row r="21" customFormat="false" ht="32.25" hidden="false" customHeight="true" outlineLevel="0" collapsed="false">
      <c r="A21" s="5" t="s">
        <v>40</v>
      </c>
      <c r="B21" s="5" t="s">
        <v>41</v>
      </c>
      <c r="C21" s="5"/>
      <c r="D21" s="6" t="s">
        <v>9</v>
      </c>
    </row>
    <row r="22" customFormat="false" ht="32.25" hidden="false" customHeight="true" outlineLevel="0" collapsed="false">
      <c r="A22" s="5" t="s">
        <v>40</v>
      </c>
      <c r="B22" s="5" t="s">
        <v>42</v>
      </c>
      <c r="C22" s="5"/>
      <c r="D22" s="6" t="s">
        <v>9</v>
      </c>
    </row>
    <row r="23" customFormat="false" ht="16.5" hidden="false" customHeight="true" outlineLevel="0" collapsed="false">
      <c r="A23" s="5" t="s">
        <v>43</v>
      </c>
      <c r="B23" s="5" t="s">
        <v>44</v>
      </c>
      <c r="C23" s="5"/>
      <c r="D23" s="6" t="s">
        <v>9</v>
      </c>
    </row>
    <row r="24" customFormat="false" ht="16.5" hidden="false" customHeight="true" outlineLevel="0" collapsed="false">
      <c r="A24" s="5" t="s">
        <v>43</v>
      </c>
      <c r="B24" s="5" t="s">
        <v>45</v>
      </c>
      <c r="C24" s="5" t="s">
        <v>46</v>
      </c>
      <c r="D24" s="6" t="s">
        <v>9</v>
      </c>
    </row>
    <row r="25" customFormat="false" ht="16.5" hidden="false" customHeight="true" outlineLevel="0" collapsed="false">
      <c r="A25" s="11" t="s">
        <v>43</v>
      </c>
      <c r="B25" s="11" t="s">
        <v>47</v>
      </c>
      <c r="C25" s="11"/>
      <c r="D25" s="12" t="s">
        <v>48</v>
      </c>
    </row>
    <row r="26" customFormat="false" ht="32.25" hidden="false" customHeight="true" outlineLevel="0" collapsed="false">
      <c r="A26" s="5" t="s">
        <v>49</v>
      </c>
      <c r="B26" s="5" t="s">
        <v>50</v>
      </c>
      <c r="C26" s="5" t="s">
        <v>51</v>
      </c>
      <c r="D26" s="6" t="s">
        <v>9</v>
      </c>
    </row>
    <row r="27" customFormat="false" ht="32.25" hidden="false" customHeight="true" outlineLevel="0" collapsed="false">
      <c r="A27" s="5" t="s">
        <v>49</v>
      </c>
      <c r="B27" s="5" t="s">
        <v>52</v>
      </c>
      <c r="C27" s="5"/>
      <c r="D27" s="6" t="s">
        <v>9</v>
      </c>
    </row>
    <row r="28" customFormat="false" ht="16.5" hidden="false" customHeight="true" outlineLevel="0" collapsed="false">
      <c r="A28" s="5" t="s">
        <v>53</v>
      </c>
      <c r="B28" s="5" t="s">
        <v>54</v>
      </c>
      <c r="C28" s="5"/>
      <c r="D28" s="6" t="s">
        <v>9</v>
      </c>
    </row>
    <row r="29" customFormat="false" ht="16.5" hidden="false" customHeight="true" outlineLevel="0" collapsed="false">
      <c r="A29" s="5" t="s">
        <v>53</v>
      </c>
      <c r="B29" s="5" t="s">
        <v>55</v>
      </c>
      <c r="C29" s="5" t="s">
        <v>56</v>
      </c>
      <c r="D29" s="6" t="s">
        <v>9</v>
      </c>
    </row>
    <row r="30" customFormat="false" ht="32.25" hidden="false" customHeight="true" outlineLevel="0" collapsed="false">
      <c r="A30" s="5" t="s">
        <v>57</v>
      </c>
      <c r="B30" s="5" t="s">
        <v>58</v>
      </c>
      <c r="C30" s="5" t="s">
        <v>59</v>
      </c>
      <c r="D30" s="6" t="s">
        <v>9</v>
      </c>
    </row>
    <row r="31" customFormat="false" ht="16.5" hidden="false" customHeight="true" outlineLevel="0" collapsed="false">
      <c r="A31" s="11" t="s">
        <v>57</v>
      </c>
      <c r="B31" s="11" t="s">
        <v>60</v>
      </c>
      <c r="C31" s="11"/>
      <c r="D31" s="12" t="s">
        <v>48</v>
      </c>
    </row>
    <row r="32" customFormat="false" ht="16.5" hidden="false" customHeight="true" outlineLevel="0" collapsed="false">
      <c r="A32" s="5" t="s">
        <v>61</v>
      </c>
      <c r="B32" s="5" t="s">
        <v>62</v>
      </c>
      <c r="C32" s="5" t="s">
        <v>63</v>
      </c>
      <c r="D32" s="6" t="s">
        <v>9</v>
      </c>
    </row>
    <row r="33" customFormat="false" ht="16.5" hidden="false" customHeight="true" outlineLevel="0" collapsed="false">
      <c r="A33" s="5" t="s">
        <v>64</v>
      </c>
      <c r="B33" s="5" t="s">
        <v>65</v>
      </c>
      <c r="C33" s="5"/>
      <c r="D33" s="6" t="s">
        <v>9</v>
      </c>
    </row>
    <row r="34" customFormat="false" ht="16.5" hidden="false" customHeight="true" outlineLevel="0" collapsed="false">
      <c r="A34" s="8" t="s">
        <v>66</v>
      </c>
      <c r="B34" s="8" t="s">
        <v>67</v>
      </c>
      <c r="C34" s="8"/>
      <c r="D34" s="10" t="s">
        <v>22</v>
      </c>
    </row>
    <row r="35" customFormat="false" ht="32.25" hidden="false" customHeight="true" outlineLevel="0" collapsed="false">
      <c r="A35" s="5" t="s">
        <v>40</v>
      </c>
      <c r="B35" s="5" t="s">
        <v>68</v>
      </c>
      <c r="C35" s="5" t="s">
        <v>69</v>
      </c>
      <c r="D35" s="6" t="s">
        <v>9</v>
      </c>
    </row>
    <row r="36" customFormat="false" ht="32.25" hidden="false" customHeight="true" outlineLevel="0" collapsed="false">
      <c r="A36" s="5" t="s">
        <v>40</v>
      </c>
      <c r="B36" s="5" t="s">
        <v>70</v>
      </c>
      <c r="C36" s="5" t="s">
        <v>71</v>
      </c>
      <c r="D36" s="6" t="s">
        <v>9</v>
      </c>
    </row>
    <row r="37" customFormat="false" ht="32.25" hidden="false" customHeight="true" outlineLevel="0" collapsed="false">
      <c r="A37" s="11" t="s">
        <v>40</v>
      </c>
      <c r="B37" s="13" t="s">
        <v>72</v>
      </c>
      <c r="C37" s="11" t="s">
        <v>73</v>
      </c>
      <c r="D37" s="12" t="s">
        <v>48</v>
      </c>
    </row>
    <row r="38" customFormat="false" ht="16.5" hidden="false" customHeight="true" outlineLevel="0" collapsed="false">
      <c r="A38" s="5" t="s">
        <v>32</v>
      </c>
      <c r="B38" s="5" t="s">
        <v>74</v>
      </c>
      <c r="C38" s="5" t="s">
        <v>75</v>
      </c>
      <c r="D38" s="6" t="s">
        <v>9</v>
      </c>
    </row>
    <row r="39" customFormat="false" ht="16.5" hidden="false" customHeight="true" outlineLevel="0" collapsed="false">
      <c r="A39" s="5" t="s">
        <v>32</v>
      </c>
      <c r="B39" s="5" t="s">
        <v>76</v>
      </c>
      <c r="C39" s="5" t="s">
        <v>77</v>
      </c>
      <c r="D39" s="6" t="s">
        <v>9</v>
      </c>
    </row>
    <row r="40" customFormat="false" ht="16.5" hidden="false" customHeight="true" outlineLevel="0" collapsed="false">
      <c r="A40" s="11" t="s">
        <v>78</v>
      </c>
      <c r="B40" s="11" t="s">
        <v>79</v>
      </c>
      <c r="C40" s="11" t="s">
        <v>80</v>
      </c>
      <c r="D40" s="12" t="s">
        <v>48</v>
      </c>
    </row>
    <row r="41" customFormat="false" ht="32.25" hidden="false" customHeight="true" outlineLevel="0" collapsed="false">
      <c r="A41" s="5" t="s">
        <v>81</v>
      </c>
      <c r="B41" s="5" t="s">
        <v>82</v>
      </c>
      <c r="C41" s="5" t="s">
        <v>83</v>
      </c>
      <c r="D41" s="6" t="s">
        <v>9</v>
      </c>
    </row>
    <row r="42" customFormat="false" ht="32.25" hidden="false" customHeight="true" outlineLevel="0" collapsed="false">
      <c r="A42" s="11" t="s">
        <v>81</v>
      </c>
      <c r="B42" s="11" t="s">
        <v>84</v>
      </c>
      <c r="C42" s="13"/>
      <c r="D42" s="12" t="s">
        <v>48</v>
      </c>
    </row>
    <row r="43" customFormat="false" ht="32.8" hidden="false" customHeight="false" outlineLevel="0" collapsed="false">
      <c r="A43" s="14" t="s">
        <v>85</v>
      </c>
      <c r="B43" s="14" t="s">
        <v>86</v>
      </c>
      <c r="C43" s="14" t="s">
        <v>87</v>
      </c>
      <c r="D43" s="15" t="s">
        <v>48</v>
      </c>
    </row>
    <row r="44" customFormat="false" ht="32.8" hidden="false" customHeight="false" outlineLevel="0" collapsed="false">
      <c r="A44" s="14" t="s">
        <v>85</v>
      </c>
      <c r="B44" s="14" t="s">
        <v>88</v>
      </c>
      <c r="C44" s="13"/>
      <c r="D44" s="15" t="s">
        <v>48</v>
      </c>
    </row>
    <row r="45" customFormat="false" ht="32.8" hidden="false" customHeight="false" outlineLevel="0" collapsed="false">
      <c r="A45" s="16" t="s">
        <v>89</v>
      </c>
      <c r="B45" s="16" t="s">
        <v>90</v>
      </c>
      <c r="C45" s="9"/>
      <c r="D45" s="17" t="s">
        <v>22</v>
      </c>
    </row>
    <row r="46" customFormat="false" ht="32.8" hidden="false" customHeight="false" outlineLevel="0" collapsed="false">
      <c r="A46" s="18" t="s">
        <v>91</v>
      </c>
      <c r="B46" s="7" t="s">
        <v>92</v>
      </c>
      <c r="C46" s="18" t="s">
        <v>93</v>
      </c>
      <c r="D46" s="19" t="s">
        <v>9</v>
      </c>
    </row>
    <row r="47" customFormat="false" ht="17.15" hidden="false" customHeight="false" outlineLevel="0" collapsed="false">
      <c r="A47" s="14" t="s">
        <v>94</v>
      </c>
      <c r="B47" s="14" t="s">
        <v>95</v>
      </c>
      <c r="C47" s="14" t="s">
        <v>96</v>
      </c>
      <c r="D47" s="15" t="s">
        <v>48</v>
      </c>
    </row>
    <row r="48" customFormat="false" ht="32.8" hidden="false" customHeight="false" outlineLevel="0" collapsed="false">
      <c r="A48" s="14" t="s">
        <v>94</v>
      </c>
      <c r="B48" s="14" t="s">
        <v>97</v>
      </c>
      <c r="C48" s="14" t="s">
        <v>98</v>
      </c>
      <c r="D48" s="1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99</v>
      </c>
    </row>
    <row r="2" customFormat="false" ht="15" hidden="false" customHeight="true" outlineLevel="0" collapsed="false">
      <c r="A2" s="3" t="s">
        <v>100</v>
      </c>
    </row>
    <row r="4" customFormat="false" ht="16.5" hidden="false" customHeight="true" outlineLevel="0" collapsed="false">
      <c r="A4" s="4" t="s">
        <v>91</v>
      </c>
      <c r="B4" s="4" t="s">
        <v>101</v>
      </c>
      <c r="C4" s="4" t="s">
        <v>102</v>
      </c>
    </row>
    <row r="5" customFormat="false" ht="16.5" hidden="false" customHeight="true" outlineLevel="0" collapsed="false">
      <c r="A5" s="5" t="s">
        <v>103</v>
      </c>
      <c r="B5" s="20" t="s">
        <v>104</v>
      </c>
      <c r="C5" s="5" t="s">
        <v>105</v>
      </c>
    </row>
    <row r="6" customFormat="false" ht="16.5" hidden="false" customHeight="true" outlineLevel="0" collapsed="false">
      <c r="A6" s="7" t="s">
        <v>106</v>
      </c>
      <c r="B6" s="6" t="n">
        <v>1</v>
      </c>
      <c r="C6" s="5" t="s">
        <v>107</v>
      </c>
    </row>
    <row r="7" customFormat="false" ht="16.5" hidden="false" customHeight="true" outlineLevel="0" collapsed="false">
      <c r="A7" s="7" t="s">
        <v>108</v>
      </c>
      <c r="B7" s="6" t="n">
        <v>2</v>
      </c>
      <c r="C7" s="5" t="s">
        <v>107</v>
      </c>
    </row>
    <row r="8" customFormat="false" ht="16.5" hidden="false" customHeight="true" outlineLevel="0" collapsed="false">
      <c r="A8" s="7" t="s">
        <v>109</v>
      </c>
      <c r="B8" s="6" t="n">
        <v>3</v>
      </c>
      <c r="C8" s="5" t="s">
        <v>107</v>
      </c>
    </row>
    <row r="9" customFormat="false" ht="16.5" hidden="false" customHeight="true" outlineLevel="0" collapsed="false">
      <c r="A9" s="7" t="s">
        <v>110</v>
      </c>
      <c r="B9" s="6" t="n">
        <v>4</v>
      </c>
      <c r="C9" s="5" t="s">
        <v>111</v>
      </c>
    </row>
    <row r="10" customFormat="false" ht="16.5" hidden="false" customHeight="true" outlineLevel="0" collapsed="false">
      <c r="A10" s="5" t="s">
        <v>112</v>
      </c>
      <c r="B10" s="20" t="s">
        <v>104</v>
      </c>
      <c r="C10" s="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40"/>
    <col collapsed="false" customWidth="true" hidden="false" outlineLevel="0" max="4" min="4" style="1" width="8"/>
  </cols>
  <sheetData>
    <row r="1" customFormat="false" ht="17.25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115</v>
      </c>
    </row>
    <row r="4" customFormat="false" ht="16.5" hidden="false" customHeight="true" outlineLevel="0" collapsed="false">
      <c r="A4" s="4" t="s">
        <v>116</v>
      </c>
      <c r="B4" s="4" t="s">
        <v>3</v>
      </c>
      <c r="C4" s="4" t="s">
        <v>117</v>
      </c>
      <c r="D4" s="4" t="s">
        <v>5</v>
      </c>
    </row>
    <row r="5" customFormat="false" ht="16.5" hidden="false" customHeight="true" outlineLevel="0" collapsed="false">
      <c r="A5" s="5" t="s">
        <v>64</v>
      </c>
      <c r="B5" s="5" t="s">
        <v>118</v>
      </c>
      <c r="C5" s="5" t="s">
        <v>119</v>
      </c>
      <c r="D5" s="6" t="s">
        <v>9</v>
      </c>
    </row>
    <row r="6" customFormat="false" ht="32.25" hidden="false" customHeight="true" outlineLevel="0" collapsed="false">
      <c r="A6" s="11" t="s">
        <v>120</v>
      </c>
      <c r="B6" s="11" t="s">
        <v>121</v>
      </c>
      <c r="C6" s="11" t="s">
        <v>122</v>
      </c>
      <c r="D6" s="12" t="s">
        <v>48</v>
      </c>
    </row>
    <row r="7" customFormat="false" ht="16.5" hidden="false" customHeight="true" outlineLevel="0" collapsed="false">
      <c r="A7" s="5" t="s">
        <v>123</v>
      </c>
      <c r="B7" s="7" t="s">
        <v>124</v>
      </c>
      <c r="C7" s="7" t="s">
        <v>104</v>
      </c>
      <c r="D7" s="6" t="s">
        <v>9</v>
      </c>
    </row>
    <row r="8" customFormat="false" ht="16.5" hidden="false" customHeight="true" outlineLevel="0" collapsed="false">
      <c r="A8" s="5" t="s">
        <v>57</v>
      </c>
      <c r="B8" s="5" t="s">
        <v>125</v>
      </c>
      <c r="C8" s="7" t="s">
        <v>104</v>
      </c>
      <c r="D8" s="6" t="s">
        <v>9</v>
      </c>
    </row>
    <row r="9" customFormat="false" ht="16.5" hidden="false" customHeight="true" outlineLevel="0" collapsed="false">
      <c r="A9" s="11" t="s">
        <v>126</v>
      </c>
      <c r="B9" s="11" t="s">
        <v>127</v>
      </c>
      <c r="C9" s="11" t="s">
        <v>85</v>
      </c>
      <c r="D9" s="12" t="s">
        <v>48</v>
      </c>
    </row>
    <row r="10" customFormat="false" ht="32.25" hidden="false" customHeight="true" outlineLevel="0" collapsed="false">
      <c r="A10" s="11" t="s">
        <v>128</v>
      </c>
      <c r="B10" s="11" t="s">
        <v>129</v>
      </c>
      <c r="C10" s="11" t="s">
        <v>130</v>
      </c>
      <c r="D10" s="12" t="s">
        <v>48</v>
      </c>
    </row>
    <row r="11" customFormat="false" ht="16.5" hidden="false" customHeight="true" outlineLevel="0" collapsed="false">
      <c r="A11" s="5" t="s">
        <v>66</v>
      </c>
      <c r="B11" s="5" t="s">
        <v>131</v>
      </c>
      <c r="C11" s="5" t="s">
        <v>132</v>
      </c>
      <c r="D11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21" t="s">
        <v>133</v>
      </c>
    </row>
    <row r="2" customFormat="false" ht="15" hidden="false" customHeight="false" outlineLevel="0" collapsed="false">
      <c r="A2" s="22" t="s">
        <v>134</v>
      </c>
    </row>
    <row r="4" customFormat="false" ht="17.15" hidden="false" customHeight="false" outlineLevel="0" collapsed="false">
      <c r="A4" s="23" t="s">
        <v>91</v>
      </c>
      <c r="B4" s="23" t="s">
        <v>135</v>
      </c>
      <c r="C4" s="23" t="s">
        <v>136</v>
      </c>
      <c r="D4" s="23" t="s">
        <v>137</v>
      </c>
      <c r="E4" s="23" t="s">
        <v>138</v>
      </c>
      <c r="F4" s="23" t="s">
        <v>66</v>
      </c>
    </row>
    <row r="5" customFormat="false" ht="32.8" hidden="false" customHeight="false" outlineLevel="0" collapsed="false">
      <c r="A5" s="20" t="s">
        <v>106</v>
      </c>
      <c r="B5" s="18" t="s">
        <v>139</v>
      </c>
      <c r="C5" s="18" t="s">
        <v>140</v>
      </c>
      <c r="D5" s="18" t="s">
        <v>141</v>
      </c>
      <c r="E5" s="18" t="s">
        <v>142</v>
      </c>
      <c r="F5" s="18" t="s">
        <v>143</v>
      </c>
    </row>
    <row r="6" customFormat="false" ht="32.8" hidden="false" customHeight="false" outlineLevel="0" collapsed="false">
      <c r="A6" s="20" t="s">
        <v>108</v>
      </c>
      <c r="B6" s="18" t="s">
        <v>144</v>
      </c>
      <c r="C6" s="18" t="s">
        <v>145</v>
      </c>
      <c r="D6" s="7" t="s">
        <v>146</v>
      </c>
      <c r="E6" s="18" t="s">
        <v>147</v>
      </c>
      <c r="F6" s="18" t="s">
        <v>148</v>
      </c>
    </row>
    <row r="7" customFormat="false" ht="32.8" hidden="false" customHeight="false" outlineLevel="0" collapsed="false">
      <c r="A7" s="20" t="s">
        <v>109</v>
      </c>
      <c r="B7" s="18" t="s">
        <v>149</v>
      </c>
      <c r="C7" s="18" t="s">
        <v>150</v>
      </c>
      <c r="D7" s="7" t="s">
        <v>151</v>
      </c>
      <c r="E7" s="18" t="s">
        <v>152</v>
      </c>
      <c r="F7" s="18" t="s">
        <v>153</v>
      </c>
    </row>
    <row r="8" customFormat="false" ht="32.8" hidden="false" customHeight="false" outlineLevel="0" collapsed="false">
      <c r="A8" s="20" t="s">
        <v>110</v>
      </c>
      <c r="B8" s="18" t="s">
        <v>154</v>
      </c>
      <c r="C8" s="18" t="s">
        <v>155</v>
      </c>
      <c r="D8" s="7" t="s">
        <v>156</v>
      </c>
      <c r="E8" s="18" t="s">
        <v>157</v>
      </c>
      <c r="F8" s="1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21" t="s">
        <v>159</v>
      </c>
    </row>
    <row r="2" customFormat="false" ht="15" hidden="false" customHeight="false" outlineLevel="0" collapsed="false">
      <c r="A2" s="22" t="s">
        <v>160</v>
      </c>
    </row>
    <row r="4" customFormat="false" ht="17.15" hidden="false" customHeight="false" outlineLevel="0" collapsed="false">
      <c r="A4" s="23" t="s">
        <v>91</v>
      </c>
      <c r="B4" s="23" t="s">
        <v>161</v>
      </c>
      <c r="C4" s="23" t="s">
        <v>162</v>
      </c>
      <c r="D4" s="23" t="s">
        <v>136</v>
      </c>
      <c r="E4" s="23" t="s">
        <v>163</v>
      </c>
      <c r="F4" s="23" t="s">
        <v>164</v>
      </c>
      <c r="G4" s="23" t="s">
        <v>165</v>
      </c>
    </row>
    <row r="5" customFormat="false" ht="17.15" hidden="false" customHeight="false" outlineLevel="0" collapsed="false">
      <c r="A5" s="20" t="s">
        <v>106</v>
      </c>
      <c r="B5" s="19" t="s">
        <v>166</v>
      </c>
      <c r="C5" s="18" t="s">
        <v>167</v>
      </c>
      <c r="D5" s="18" t="s">
        <v>168</v>
      </c>
      <c r="E5" s="18" t="s">
        <v>169</v>
      </c>
      <c r="F5" s="7" t="s">
        <v>104</v>
      </c>
      <c r="G5" s="18" t="s">
        <v>170</v>
      </c>
    </row>
    <row r="6" customFormat="false" ht="17.15" hidden="false" customHeight="false" outlineLevel="0" collapsed="false">
      <c r="A6" s="20" t="s">
        <v>106</v>
      </c>
      <c r="B6" s="19" t="s">
        <v>166</v>
      </c>
      <c r="C6" s="18" t="s">
        <v>171</v>
      </c>
      <c r="D6" s="18" t="s">
        <v>172</v>
      </c>
      <c r="E6" s="18" t="s">
        <v>173</v>
      </c>
      <c r="F6" s="7" t="s">
        <v>104</v>
      </c>
      <c r="G6" s="7" t="s">
        <v>104</v>
      </c>
    </row>
    <row r="7" customFormat="false" ht="17.15" hidden="false" customHeight="false" outlineLevel="0" collapsed="false">
      <c r="A7" s="20" t="s">
        <v>106</v>
      </c>
      <c r="B7" s="19" t="s">
        <v>166</v>
      </c>
      <c r="C7" s="18" t="s">
        <v>174</v>
      </c>
      <c r="D7" s="18" t="s">
        <v>175</v>
      </c>
      <c r="E7" s="18" t="s">
        <v>176</v>
      </c>
      <c r="F7" s="7" t="s">
        <v>104</v>
      </c>
      <c r="G7" s="18" t="s">
        <v>177</v>
      </c>
    </row>
    <row r="8" customFormat="false" ht="17.15" hidden="false" customHeight="false" outlineLevel="0" collapsed="false">
      <c r="A8" s="20" t="s">
        <v>106</v>
      </c>
      <c r="B8" s="19" t="s">
        <v>166</v>
      </c>
      <c r="C8" s="18" t="s">
        <v>178</v>
      </c>
      <c r="D8" s="18" t="s">
        <v>179</v>
      </c>
      <c r="E8" s="18" t="s">
        <v>180</v>
      </c>
      <c r="F8" s="18" t="s">
        <v>181</v>
      </c>
      <c r="G8" s="18" t="s">
        <v>182</v>
      </c>
    </row>
    <row r="9" customFormat="false" ht="17.15" hidden="false" customHeight="false" outlineLevel="0" collapsed="false">
      <c r="A9" s="20" t="s">
        <v>106</v>
      </c>
      <c r="B9" s="19" t="s">
        <v>166</v>
      </c>
      <c r="C9" s="18" t="s">
        <v>183</v>
      </c>
      <c r="D9" s="7" t="s">
        <v>184</v>
      </c>
      <c r="E9" s="18" t="s">
        <v>173</v>
      </c>
      <c r="F9" s="7" t="s">
        <v>104</v>
      </c>
      <c r="G9" s="18" t="s">
        <v>185</v>
      </c>
    </row>
    <row r="10" customFormat="false" ht="17.15" hidden="false" customHeight="false" outlineLevel="0" collapsed="false">
      <c r="A10" s="20" t="s">
        <v>106</v>
      </c>
      <c r="B10" s="19" t="s">
        <v>166</v>
      </c>
      <c r="C10" s="18" t="s">
        <v>186</v>
      </c>
      <c r="D10" s="18" t="s">
        <v>187</v>
      </c>
      <c r="E10" s="18" t="s">
        <v>188</v>
      </c>
      <c r="F10" s="7" t="s">
        <v>104</v>
      </c>
      <c r="G10" s="18" t="s">
        <v>189</v>
      </c>
    </row>
    <row r="11" customFormat="false" ht="32.8" hidden="false" customHeight="false" outlineLevel="0" collapsed="false">
      <c r="A11" s="24" t="s">
        <v>106</v>
      </c>
      <c r="B11" s="25" t="s">
        <v>190</v>
      </c>
      <c r="C11" s="26" t="s">
        <v>191</v>
      </c>
      <c r="D11" s="26" t="s">
        <v>192</v>
      </c>
      <c r="E11" s="26" t="s">
        <v>193</v>
      </c>
      <c r="F11" s="27" t="s">
        <v>104</v>
      </c>
      <c r="G11" s="26" t="s">
        <v>194</v>
      </c>
    </row>
    <row r="12" customFormat="false" ht="32.8" hidden="false" customHeight="false" outlineLevel="0" collapsed="false">
      <c r="A12" s="24" t="s">
        <v>106</v>
      </c>
      <c r="B12" s="25" t="s">
        <v>190</v>
      </c>
      <c r="C12" s="26" t="s">
        <v>195</v>
      </c>
      <c r="D12" s="26" t="s">
        <v>196</v>
      </c>
      <c r="E12" s="26" t="s">
        <v>197</v>
      </c>
      <c r="F12" s="27" t="s">
        <v>104</v>
      </c>
      <c r="G12" s="26" t="s">
        <v>198</v>
      </c>
    </row>
    <row r="13" customFormat="false" ht="32.8" hidden="false" customHeight="false" outlineLevel="0" collapsed="false">
      <c r="A13" s="28" t="s">
        <v>106</v>
      </c>
      <c r="B13" s="29" t="s">
        <v>66</v>
      </c>
      <c r="C13" s="30" t="s">
        <v>143</v>
      </c>
      <c r="D13" s="30" t="s">
        <v>199</v>
      </c>
      <c r="E13" s="30" t="s">
        <v>200</v>
      </c>
      <c r="F13" s="31" t="s">
        <v>104</v>
      </c>
      <c r="G13" s="30" t="s">
        <v>201</v>
      </c>
    </row>
    <row r="14" customFormat="false" ht="17.15" hidden="false" customHeight="false" outlineLevel="0" collapsed="false">
      <c r="A14" s="20" t="s">
        <v>108</v>
      </c>
      <c r="B14" s="19" t="s">
        <v>166</v>
      </c>
      <c r="C14" s="18" t="s">
        <v>202</v>
      </c>
      <c r="D14" s="18" t="s">
        <v>203</v>
      </c>
      <c r="E14" s="18" t="s">
        <v>173</v>
      </c>
      <c r="F14" s="7" t="s">
        <v>104</v>
      </c>
      <c r="G14" s="18" t="s">
        <v>204</v>
      </c>
    </row>
    <row r="15" customFormat="false" ht="17.15" hidden="false" customHeight="false" outlineLevel="0" collapsed="false">
      <c r="A15" s="20" t="s">
        <v>108</v>
      </c>
      <c r="B15" s="19" t="s">
        <v>166</v>
      </c>
      <c r="C15" s="18" t="s">
        <v>205</v>
      </c>
      <c r="D15" s="18" t="s">
        <v>206</v>
      </c>
      <c r="E15" s="18" t="s">
        <v>207</v>
      </c>
      <c r="F15" s="18" t="s">
        <v>208</v>
      </c>
      <c r="G15" s="18" t="s">
        <v>209</v>
      </c>
    </row>
    <row r="16" customFormat="false" ht="17.15" hidden="false" customHeight="false" outlineLevel="0" collapsed="false">
      <c r="A16" s="20" t="s">
        <v>108</v>
      </c>
      <c r="B16" s="19" t="s">
        <v>166</v>
      </c>
      <c r="C16" s="18" t="s">
        <v>210</v>
      </c>
      <c r="D16" s="18" t="s">
        <v>211</v>
      </c>
      <c r="E16" s="18" t="s">
        <v>212</v>
      </c>
      <c r="F16" s="7" t="s">
        <v>104</v>
      </c>
      <c r="G16" s="18" t="s">
        <v>213</v>
      </c>
    </row>
    <row r="17" customFormat="false" ht="17.15" hidden="false" customHeight="false" outlineLevel="0" collapsed="false">
      <c r="A17" s="20" t="s">
        <v>108</v>
      </c>
      <c r="B17" s="19" t="s">
        <v>166</v>
      </c>
      <c r="C17" s="18" t="s">
        <v>214</v>
      </c>
      <c r="D17" s="18" t="s">
        <v>215</v>
      </c>
      <c r="E17" s="18" t="s">
        <v>216</v>
      </c>
      <c r="F17" s="18" t="s">
        <v>217</v>
      </c>
      <c r="G17" s="18" t="s">
        <v>218</v>
      </c>
    </row>
    <row r="18" customFormat="false" ht="17.15" hidden="false" customHeight="false" outlineLevel="0" collapsed="false">
      <c r="A18" s="20" t="s">
        <v>108</v>
      </c>
      <c r="B18" s="19" t="s">
        <v>166</v>
      </c>
      <c r="C18" s="18" t="s">
        <v>219</v>
      </c>
      <c r="D18" s="18" t="s">
        <v>220</v>
      </c>
      <c r="E18" s="18" t="s">
        <v>221</v>
      </c>
      <c r="F18" s="18" t="s">
        <v>208</v>
      </c>
      <c r="G18" s="18" t="s">
        <v>170</v>
      </c>
    </row>
    <row r="19" customFormat="false" ht="17.15" hidden="false" customHeight="false" outlineLevel="0" collapsed="false">
      <c r="A19" s="20" t="s">
        <v>108</v>
      </c>
      <c r="B19" s="19" t="s">
        <v>166</v>
      </c>
      <c r="C19" s="18" t="s">
        <v>222</v>
      </c>
      <c r="D19" s="18" t="s">
        <v>223</v>
      </c>
      <c r="E19" s="18" t="s">
        <v>224</v>
      </c>
      <c r="F19" s="7" t="s">
        <v>104</v>
      </c>
      <c r="G19" s="18" t="s">
        <v>225</v>
      </c>
    </row>
    <row r="20" customFormat="false" ht="17.15" hidden="false" customHeight="false" outlineLevel="0" collapsed="false">
      <c r="A20" s="24" t="s">
        <v>108</v>
      </c>
      <c r="B20" s="25" t="s">
        <v>190</v>
      </c>
      <c r="C20" s="26" t="s">
        <v>226</v>
      </c>
      <c r="D20" s="26" t="s">
        <v>227</v>
      </c>
      <c r="E20" s="26" t="s">
        <v>228</v>
      </c>
      <c r="F20" s="26" t="s">
        <v>208</v>
      </c>
      <c r="G20" s="26" t="s">
        <v>229</v>
      </c>
    </row>
    <row r="21" customFormat="false" ht="32.8" hidden="false" customHeight="false" outlineLevel="0" collapsed="false">
      <c r="A21" s="24" t="s">
        <v>108</v>
      </c>
      <c r="B21" s="25" t="s">
        <v>190</v>
      </c>
      <c r="C21" s="26" t="s">
        <v>230</v>
      </c>
      <c r="D21" s="26" t="s">
        <v>231</v>
      </c>
      <c r="E21" s="26" t="s">
        <v>232</v>
      </c>
      <c r="F21" s="26" t="s">
        <v>208</v>
      </c>
      <c r="G21" s="26" t="s">
        <v>233</v>
      </c>
    </row>
    <row r="22" customFormat="false" ht="32.8" hidden="false" customHeight="false" outlineLevel="0" collapsed="false">
      <c r="A22" s="28" t="s">
        <v>108</v>
      </c>
      <c r="B22" s="29" t="s">
        <v>66</v>
      </c>
      <c r="C22" s="30" t="s">
        <v>148</v>
      </c>
      <c r="D22" s="30" t="s">
        <v>234</v>
      </c>
      <c r="E22" s="30" t="s">
        <v>235</v>
      </c>
      <c r="F22" s="30" t="s">
        <v>208</v>
      </c>
      <c r="G22" s="30" t="s">
        <v>236</v>
      </c>
    </row>
    <row r="23" customFormat="false" ht="17.15" hidden="false" customHeight="false" outlineLevel="0" collapsed="false">
      <c r="A23" s="20" t="s">
        <v>109</v>
      </c>
      <c r="B23" s="19" t="s">
        <v>166</v>
      </c>
      <c r="C23" s="18" t="s">
        <v>237</v>
      </c>
      <c r="D23" s="18" t="s">
        <v>238</v>
      </c>
      <c r="E23" s="18" t="s">
        <v>239</v>
      </c>
      <c r="F23" s="18" t="s">
        <v>240</v>
      </c>
      <c r="G23" s="18" t="s">
        <v>241</v>
      </c>
    </row>
    <row r="24" customFormat="false" ht="17.15" hidden="false" customHeight="false" outlineLevel="0" collapsed="false">
      <c r="A24" s="20" t="s">
        <v>109</v>
      </c>
      <c r="B24" s="19" t="s">
        <v>166</v>
      </c>
      <c r="C24" s="18" t="s">
        <v>242</v>
      </c>
      <c r="D24" s="18" t="s">
        <v>243</v>
      </c>
      <c r="E24" s="18" t="s">
        <v>244</v>
      </c>
      <c r="F24" s="18" t="s">
        <v>240</v>
      </c>
      <c r="G24" s="18" t="s">
        <v>245</v>
      </c>
    </row>
    <row r="25" customFormat="false" ht="17.15" hidden="false" customHeight="false" outlineLevel="0" collapsed="false">
      <c r="A25" s="20" t="s">
        <v>109</v>
      </c>
      <c r="B25" s="19" t="s">
        <v>166</v>
      </c>
      <c r="C25" s="18" t="s">
        <v>246</v>
      </c>
      <c r="D25" s="18" t="s">
        <v>247</v>
      </c>
      <c r="E25" s="18" t="s">
        <v>248</v>
      </c>
      <c r="F25" s="18" t="s">
        <v>240</v>
      </c>
      <c r="G25" s="18" t="s">
        <v>249</v>
      </c>
    </row>
    <row r="26" customFormat="false" ht="17.15" hidden="false" customHeight="false" outlineLevel="0" collapsed="false">
      <c r="A26" s="20" t="s">
        <v>109</v>
      </c>
      <c r="B26" s="19" t="s">
        <v>166</v>
      </c>
      <c r="C26" s="18" t="s">
        <v>250</v>
      </c>
      <c r="D26" s="18" t="s">
        <v>251</v>
      </c>
      <c r="E26" s="18" t="s">
        <v>252</v>
      </c>
      <c r="F26" s="18" t="s">
        <v>181</v>
      </c>
      <c r="G26" s="18" t="s">
        <v>225</v>
      </c>
    </row>
    <row r="27" customFormat="false" ht="17.15" hidden="false" customHeight="false" outlineLevel="0" collapsed="false">
      <c r="A27" s="20" t="s">
        <v>109</v>
      </c>
      <c r="B27" s="19" t="s">
        <v>166</v>
      </c>
      <c r="C27" s="18" t="s">
        <v>253</v>
      </c>
      <c r="D27" s="18" t="s">
        <v>254</v>
      </c>
      <c r="E27" s="18" t="s">
        <v>255</v>
      </c>
      <c r="F27" s="7" t="s">
        <v>104</v>
      </c>
      <c r="G27" s="18" t="s">
        <v>189</v>
      </c>
    </row>
    <row r="28" customFormat="false" ht="17.15" hidden="false" customHeight="false" outlineLevel="0" collapsed="false">
      <c r="A28" s="20" t="s">
        <v>109</v>
      </c>
      <c r="B28" s="19" t="s">
        <v>166</v>
      </c>
      <c r="C28" s="18" t="s">
        <v>256</v>
      </c>
      <c r="D28" s="18" t="s">
        <v>257</v>
      </c>
      <c r="E28" s="18" t="s">
        <v>258</v>
      </c>
      <c r="F28" s="18" t="s">
        <v>240</v>
      </c>
      <c r="G28" s="18" t="s">
        <v>259</v>
      </c>
    </row>
    <row r="29" customFormat="false" ht="17.15" hidden="false" customHeight="false" outlineLevel="0" collapsed="false">
      <c r="A29" s="24" t="s">
        <v>109</v>
      </c>
      <c r="B29" s="25" t="s">
        <v>190</v>
      </c>
      <c r="C29" s="26" t="s">
        <v>260</v>
      </c>
      <c r="D29" s="26" t="s">
        <v>261</v>
      </c>
      <c r="E29" s="26" t="s">
        <v>262</v>
      </c>
      <c r="F29" s="26" t="s">
        <v>263</v>
      </c>
      <c r="G29" s="26" t="s">
        <v>264</v>
      </c>
    </row>
    <row r="30" customFormat="false" ht="17.15" hidden="false" customHeight="false" outlineLevel="0" collapsed="false">
      <c r="A30" s="24" t="s">
        <v>109</v>
      </c>
      <c r="B30" s="25" t="s">
        <v>190</v>
      </c>
      <c r="C30" s="26" t="s">
        <v>265</v>
      </c>
      <c r="D30" s="26" t="s">
        <v>266</v>
      </c>
      <c r="E30" s="26" t="s">
        <v>267</v>
      </c>
      <c r="F30" s="26" t="s">
        <v>240</v>
      </c>
      <c r="G30" s="26" t="s">
        <v>268</v>
      </c>
    </row>
    <row r="31" customFormat="false" ht="32.8" hidden="false" customHeight="false" outlineLevel="0" collapsed="false">
      <c r="A31" s="28" t="s">
        <v>109</v>
      </c>
      <c r="B31" s="29" t="s">
        <v>66</v>
      </c>
      <c r="C31" s="30" t="s">
        <v>153</v>
      </c>
      <c r="D31" s="30" t="s">
        <v>269</v>
      </c>
      <c r="E31" s="30" t="s">
        <v>270</v>
      </c>
      <c r="F31" s="30" t="s">
        <v>240</v>
      </c>
      <c r="G31" s="30" t="s">
        <v>271</v>
      </c>
    </row>
    <row r="32" customFormat="false" ht="17.15" hidden="false" customHeight="false" outlineLevel="0" collapsed="false">
      <c r="A32" s="20" t="s">
        <v>110</v>
      </c>
      <c r="B32" s="19" t="s">
        <v>166</v>
      </c>
      <c r="C32" s="18" t="s">
        <v>272</v>
      </c>
      <c r="D32" s="18" t="s">
        <v>273</v>
      </c>
      <c r="E32" s="18" t="s">
        <v>274</v>
      </c>
      <c r="F32" s="7" t="s">
        <v>104</v>
      </c>
      <c r="G32" s="7" t="s">
        <v>104</v>
      </c>
    </row>
    <row r="33" customFormat="false" ht="17.15" hidden="false" customHeight="false" outlineLevel="0" collapsed="false">
      <c r="A33" s="20" t="s">
        <v>110</v>
      </c>
      <c r="B33" s="19" t="s">
        <v>166</v>
      </c>
      <c r="C33" s="18" t="s">
        <v>275</v>
      </c>
      <c r="D33" s="18" t="s">
        <v>276</v>
      </c>
      <c r="E33" s="18" t="s">
        <v>277</v>
      </c>
      <c r="F33" s="18" t="s">
        <v>278</v>
      </c>
      <c r="G33" s="18" t="s">
        <v>225</v>
      </c>
    </row>
    <row r="34" customFormat="false" ht="17.15" hidden="false" customHeight="false" outlineLevel="0" collapsed="false">
      <c r="A34" s="20" t="s">
        <v>110</v>
      </c>
      <c r="B34" s="19" t="s">
        <v>166</v>
      </c>
      <c r="C34" s="18" t="s">
        <v>279</v>
      </c>
      <c r="D34" s="18" t="s">
        <v>280</v>
      </c>
      <c r="E34" s="18" t="s">
        <v>281</v>
      </c>
      <c r="F34" s="18" t="s">
        <v>282</v>
      </c>
      <c r="G34" s="18" t="s">
        <v>283</v>
      </c>
    </row>
    <row r="35" customFormat="false" ht="17.15" hidden="false" customHeight="false" outlineLevel="0" collapsed="false">
      <c r="A35" s="20" t="s">
        <v>110</v>
      </c>
      <c r="B35" s="19" t="s">
        <v>166</v>
      </c>
      <c r="C35" s="18" t="s">
        <v>284</v>
      </c>
      <c r="D35" s="18" t="s">
        <v>285</v>
      </c>
      <c r="E35" s="18" t="s">
        <v>286</v>
      </c>
      <c r="F35" s="7" t="s">
        <v>104</v>
      </c>
      <c r="G35" s="18" t="s">
        <v>287</v>
      </c>
    </row>
    <row r="36" customFormat="false" ht="17.15" hidden="false" customHeight="false" outlineLevel="0" collapsed="false">
      <c r="A36" s="20" t="s">
        <v>110</v>
      </c>
      <c r="B36" s="19" t="s">
        <v>166</v>
      </c>
      <c r="C36" s="18" t="s">
        <v>288</v>
      </c>
      <c r="D36" s="18" t="s">
        <v>289</v>
      </c>
      <c r="E36" s="18" t="s">
        <v>290</v>
      </c>
      <c r="F36" s="7" t="s">
        <v>104</v>
      </c>
      <c r="G36" s="18" t="s">
        <v>291</v>
      </c>
    </row>
    <row r="37" customFormat="false" ht="17.15" hidden="false" customHeight="false" outlineLevel="0" collapsed="false">
      <c r="A37" s="20" t="s">
        <v>110</v>
      </c>
      <c r="B37" s="19" t="s">
        <v>166</v>
      </c>
      <c r="C37" s="18" t="s">
        <v>292</v>
      </c>
      <c r="D37" s="18" t="s">
        <v>293</v>
      </c>
      <c r="E37" s="18" t="s">
        <v>294</v>
      </c>
      <c r="F37" s="18" t="s">
        <v>181</v>
      </c>
      <c r="G37" s="18" t="s">
        <v>295</v>
      </c>
    </row>
    <row r="38" customFormat="false" ht="32.8" hidden="false" customHeight="false" outlineLevel="0" collapsed="false">
      <c r="A38" s="24" t="s">
        <v>110</v>
      </c>
      <c r="B38" s="25" t="s">
        <v>190</v>
      </c>
      <c r="C38" s="26" t="s">
        <v>296</v>
      </c>
      <c r="D38" s="26" t="s">
        <v>297</v>
      </c>
      <c r="E38" s="26" t="s">
        <v>298</v>
      </c>
      <c r="F38" s="26" t="s">
        <v>299</v>
      </c>
      <c r="G38" s="26" t="s">
        <v>300</v>
      </c>
    </row>
    <row r="39" customFormat="false" ht="32.8" hidden="false" customHeight="false" outlineLevel="0" collapsed="false">
      <c r="A39" s="24" t="s">
        <v>110</v>
      </c>
      <c r="B39" s="25" t="s">
        <v>190</v>
      </c>
      <c r="C39" s="26" t="s">
        <v>301</v>
      </c>
      <c r="D39" s="26" t="s">
        <v>302</v>
      </c>
      <c r="E39" s="26" t="s">
        <v>303</v>
      </c>
      <c r="F39" s="26" t="s">
        <v>299</v>
      </c>
      <c r="G39" s="26" t="s">
        <v>304</v>
      </c>
    </row>
    <row r="40" customFormat="false" ht="32.8" hidden="false" customHeight="false" outlineLevel="0" collapsed="false">
      <c r="A40" s="28" t="s">
        <v>110</v>
      </c>
      <c r="B40" s="29" t="s">
        <v>66</v>
      </c>
      <c r="C40" s="30" t="s">
        <v>158</v>
      </c>
      <c r="D40" s="30" t="s">
        <v>305</v>
      </c>
      <c r="E40" s="30" t="s">
        <v>306</v>
      </c>
      <c r="F40" s="30" t="s">
        <v>307</v>
      </c>
      <c r="G40" s="30" t="s">
        <v>308</v>
      </c>
    </row>
  </sheetData>
  <autoFilter ref="A4:G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8"/>
    <col collapsed="false" customWidth="true" hidden="false" outlineLevel="0" max="3" min="3" style="1" width="56"/>
    <col collapsed="false" customWidth="true" hidden="false" outlineLevel="0" max="4" min="4" style="1" width="8"/>
  </cols>
  <sheetData>
    <row r="1" customFormat="false" ht="17.25" hidden="false" customHeight="true" outlineLevel="0" collapsed="false">
      <c r="A1" s="2" t="s">
        <v>309</v>
      </c>
    </row>
    <row r="3" customFormat="false" ht="16.5" hidden="false" customHeight="true" outlineLevel="0" collapsed="false">
      <c r="A3" s="4" t="s">
        <v>310</v>
      </c>
      <c r="B3" s="4" t="s">
        <v>311</v>
      </c>
      <c r="C3" s="4" t="s">
        <v>4</v>
      </c>
      <c r="D3" s="4" t="s">
        <v>5</v>
      </c>
    </row>
    <row r="4" customFormat="false" ht="32.25" hidden="false" customHeight="true" outlineLevel="0" collapsed="false">
      <c r="A4" s="5" t="s">
        <v>312</v>
      </c>
      <c r="B4" s="5" t="s">
        <v>313</v>
      </c>
      <c r="C4" s="5" t="s">
        <v>314</v>
      </c>
      <c r="D4" s="6" t="s">
        <v>9</v>
      </c>
    </row>
    <row r="5" customFormat="false" ht="32.25" hidden="false" customHeight="true" outlineLevel="0" collapsed="false">
      <c r="A5" s="5" t="s">
        <v>315</v>
      </c>
      <c r="B5" s="5" t="s">
        <v>316</v>
      </c>
      <c r="C5" s="5" t="s">
        <v>317</v>
      </c>
      <c r="D5" s="6" t="s">
        <v>9</v>
      </c>
    </row>
    <row r="6" customFormat="false" ht="16.5" hidden="false" customHeight="true" outlineLevel="0" collapsed="false">
      <c r="A6" s="11" t="s">
        <v>315</v>
      </c>
      <c r="B6" s="11" t="s">
        <v>318</v>
      </c>
      <c r="C6" s="11" t="s">
        <v>319</v>
      </c>
      <c r="D6" s="12" t="s">
        <v>48</v>
      </c>
    </row>
    <row r="7" customFormat="false" ht="16.5" hidden="false" customHeight="true" outlineLevel="0" collapsed="false">
      <c r="A7" s="11" t="s">
        <v>315</v>
      </c>
      <c r="B7" s="11" t="s">
        <v>320</v>
      </c>
      <c r="C7" s="11"/>
      <c r="D7" s="12" t="s">
        <v>48</v>
      </c>
    </row>
    <row r="8" customFormat="false" ht="16.5" hidden="false" customHeight="true" outlineLevel="0" collapsed="false">
      <c r="A8" s="11" t="s">
        <v>315</v>
      </c>
      <c r="B8" s="11" t="s">
        <v>321</v>
      </c>
      <c r="C8" s="11"/>
      <c r="D8" s="12" t="s">
        <v>48</v>
      </c>
    </row>
    <row r="9" customFormat="false" ht="16.5" hidden="false" customHeight="true" outlineLevel="0" collapsed="false">
      <c r="A9" s="7" t="s">
        <v>322</v>
      </c>
      <c r="B9" s="5" t="s">
        <v>323</v>
      </c>
      <c r="C9" s="5" t="s">
        <v>324</v>
      </c>
      <c r="D9" s="6" t="s">
        <v>9</v>
      </c>
    </row>
    <row r="10" customFormat="false" ht="16.5" hidden="false" customHeight="true" outlineLevel="0" collapsed="false">
      <c r="A10" s="5" t="s">
        <v>325</v>
      </c>
      <c r="B10" s="5" t="s">
        <v>326</v>
      </c>
      <c r="C10" s="5" t="s">
        <v>327</v>
      </c>
      <c r="D10" s="6" t="s">
        <v>9</v>
      </c>
    </row>
    <row r="11" customFormat="false" ht="16.5" hidden="false" customHeight="true" outlineLevel="0" collapsed="false">
      <c r="A11" s="11" t="s">
        <v>328</v>
      </c>
      <c r="B11" s="13" t="s">
        <v>329</v>
      </c>
      <c r="C11" s="11"/>
      <c r="D11" s="12" t="s">
        <v>48</v>
      </c>
    </row>
    <row r="12" customFormat="false" ht="32.25" hidden="false" customHeight="true" outlineLevel="0" collapsed="false">
      <c r="A12" s="5" t="s">
        <v>330</v>
      </c>
      <c r="B12" s="5" t="s">
        <v>331</v>
      </c>
      <c r="C12" s="5" t="s">
        <v>332</v>
      </c>
      <c r="D12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9" min="4" style="1" width="6"/>
    <col collapsed="false" customWidth="true" hidden="false" outlineLevel="0" max="11" min="10" style="1" width="8"/>
    <col collapsed="false" customWidth="true" hidden="false" outlineLevel="0" max="12" min="12" style="1" width="34"/>
  </cols>
  <sheetData>
    <row r="1" customFormat="false" ht="21" hidden="false" customHeight="true" outlineLevel="0" collapsed="false">
      <c r="A1" s="2" t="s">
        <v>333</v>
      </c>
    </row>
    <row r="2" customFormat="false" ht="15" hidden="false" customHeight="true" outlineLevel="0" collapsed="false">
      <c r="A2" s="3" t="s">
        <v>334</v>
      </c>
    </row>
    <row r="4" customFormat="false" ht="15" hidden="false" customHeight="true" outlineLevel="0" collapsed="false">
      <c r="A4" s="32" t="s">
        <v>335</v>
      </c>
      <c r="B4" s="32" t="s">
        <v>32</v>
      </c>
      <c r="C4" s="32" t="s">
        <v>336</v>
      </c>
      <c r="D4" s="33" t="s">
        <v>337</v>
      </c>
      <c r="E4" s="33" t="s">
        <v>338</v>
      </c>
      <c r="F4" s="32" t="s">
        <v>339</v>
      </c>
      <c r="G4" s="32" t="s">
        <v>340</v>
      </c>
      <c r="H4" s="32" t="s">
        <v>341</v>
      </c>
      <c r="I4" s="32" t="s">
        <v>342</v>
      </c>
      <c r="J4" s="32" t="s">
        <v>343</v>
      </c>
      <c r="K4" s="32" t="s">
        <v>344</v>
      </c>
      <c r="L4" s="32" t="s">
        <v>345</v>
      </c>
    </row>
    <row r="5" customFormat="false" ht="15" hidden="false" customHeight="true" outlineLevel="0" collapsed="false">
      <c r="A5" s="34" t="s">
        <v>346</v>
      </c>
      <c r="B5" s="34" t="s">
        <v>347</v>
      </c>
      <c r="C5" s="34" t="s">
        <v>348</v>
      </c>
      <c r="D5" s="35" t="s">
        <v>349</v>
      </c>
      <c r="E5" s="35" t="s">
        <v>350</v>
      </c>
      <c r="F5" s="35" t="s">
        <v>351</v>
      </c>
      <c r="G5" s="35" t="s">
        <v>349</v>
      </c>
      <c r="H5" s="35" t="s">
        <v>350</v>
      </c>
      <c r="I5" s="35" t="s">
        <v>352</v>
      </c>
      <c r="J5" s="35" t="s">
        <v>349</v>
      </c>
      <c r="K5" s="36" t="n">
        <f aca="false">COUNTIF(D5:J5,"◎")*3+COUNTIF(D5:J5,"○")*2+COUNTIF(D5:J5,"△")</f>
        <v>10</v>
      </c>
      <c r="L5" s="37" t="s">
        <v>353</v>
      </c>
    </row>
    <row r="6" customFormat="false" ht="15" hidden="false" customHeight="true" outlineLevel="0" collapsed="false">
      <c r="A6" s="34" t="s">
        <v>346</v>
      </c>
      <c r="B6" s="34" t="s">
        <v>354</v>
      </c>
      <c r="C6" s="34" t="s">
        <v>355</v>
      </c>
      <c r="D6" s="35" t="s">
        <v>351</v>
      </c>
      <c r="E6" s="35" t="s">
        <v>352</v>
      </c>
      <c r="F6" s="35" t="s">
        <v>349</v>
      </c>
      <c r="G6" s="35" t="s">
        <v>351</v>
      </c>
      <c r="H6" s="35" t="s">
        <v>350</v>
      </c>
      <c r="I6" s="35" t="s">
        <v>349</v>
      </c>
      <c r="J6" s="35" t="s">
        <v>350</v>
      </c>
      <c r="K6" s="36" t="n">
        <f aca="false">COUNTIF(D6:J6,"◎")*3+COUNTIF(D6:J6,"○")*2+COUNTIF(D6:J6,"△")</f>
        <v>11</v>
      </c>
      <c r="L6" s="37" t="s">
        <v>356</v>
      </c>
    </row>
    <row r="7" customFormat="false" ht="16.5" hidden="false" customHeight="true" outlineLevel="0" collapsed="false">
      <c r="A7" s="34" t="s">
        <v>346</v>
      </c>
      <c r="B7" s="34" t="s">
        <v>357</v>
      </c>
      <c r="C7" s="34" t="s">
        <v>348</v>
      </c>
      <c r="D7" s="35" t="s">
        <v>351</v>
      </c>
      <c r="E7" s="35" t="s">
        <v>352</v>
      </c>
      <c r="F7" s="35" t="s">
        <v>351</v>
      </c>
      <c r="G7" s="35" t="s">
        <v>352</v>
      </c>
      <c r="H7" s="35" t="s">
        <v>352</v>
      </c>
      <c r="I7" s="35" t="s">
        <v>350</v>
      </c>
      <c r="J7" s="35" t="s">
        <v>352</v>
      </c>
      <c r="K7" s="36" t="n">
        <f aca="false">COUNTIF(D7:J7,"◎")*3+COUNTIF(D7:J7,"○")*2+COUNTIF(D7:J7,"△")</f>
        <v>10</v>
      </c>
      <c r="L7" s="38" t="s">
        <v>358</v>
      </c>
    </row>
    <row r="8" customFormat="false" ht="15" hidden="false" customHeight="true" outlineLevel="0" collapsed="false">
      <c r="A8" s="34" t="s">
        <v>346</v>
      </c>
      <c r="B8" s="34" t="s">
        <v>359</v>
      </c>
      <c r="C8" s="34" t="s">
        <v>348</v>
      </c>
      <c r="D8" s="35" t="s">
        <v>349</v>
      </c>
      <c r="E8" s="35" t="s">
        <v>352</v>
      </c>
      <c r="F8" s="35" t="s">
        <v>351</v>
      </c>
      <c r="G8" s="35" t="s">
        <v>352</v>
      </c>
      <c r="H8" s="35" t="s">
        <v>350</v>
      </c>
      <c r="I8" s="35" t="s">
        <v>352</v>
      </c>
      <c r="J8" s="35" t="s">
        <v>349</v>
      </c>
      <c r="K8" s="36" t="n">
        <f aca="false">COUNTIF(D8:J8,"◎")*3+COUNTIF(D8:J8,"○")*2+COUNTIF(D8:J8,"△")</f>
        <v>10</v>
      </c>
      <c r="L8" s="37" t="s">
        <v>360</v>
      </c>
    </row>
    <row r="9" customFormat="false" ht="15" hidden="false" customHeight="true" outlineLevel="0" collapsed="false">
      <c r="A9" s="34" t="s">
        <v>361</v>
      </c>
      <c r="B9" s="34" t="s">
        <v>362</v>
      </c>
      <c r="C9" s="34" t="s">
        <v>363</v>
      </c>
      <c r="D9" s="35" t="s">
        <v>352</v>
      </c>
      <c r="E9" s="35" t="s">
        <v>351</v>
      </c>
      <c r="F9" s="35" t="s">
        <v>350</v>
      </c>
      <c r="G9" s="35" t="s">
        <v>352</v>
      </c>
      <c r="H9" s="35" t="s">
        <v>352</v>
      </c>
      <c r="I9" s="35" t="s">
        <v>351</v>
      </c>
      <c r="J9" s="35" t="s">
        <v>349</v>
      </c>
      <c r="K9" s="36" t="n">
        <f aca="false">COUNTIF(D9:J9,"◎")*3+COUNTIF(D9:J9,"○")*2+COUNTIF(D9:J9,"△")</f>
        <v>11</v>
      </c>
      <c r="L9" s="37" t="s">
        <v>364</v>
      </c>
    </row>
    <row r="10" customFormat="false" ht="15" hidden="false" customHeight="true" outlineLevel="0" collapsed="false">
      <c r="A10" s="34" t="s">
        <v>361</v>
      </c>
      <c r="B10" s="34" t="s">
        <v>365</v>
      </c>
      <c r="C10" s="34" t="s">
        <v>348</v>
      </c>
      <c r="D10" s="35" t="s">
        <v>350</v>
      </c>
      <c r="E10" s="35" t="s">
        <v>351</v>
      </c>
      <c r="F10" s="35" t="s">
        <v>350</v>
      </c>
      <c r="G10" s="35" t="s">
        <v>350</v>
      </c>
      <c r="H10" s="35" t="s">
        <v>351</v>
      </c>
      <c r="I10" s="35" t="s">
        <v>349</v>
      </c>
      <c r="J10" s="35" t="s">
        <v>352</v>
      </c>
      <c r="K10" s="36" t="n">
        <f aca="false">COUNTIF(D10:J10,"◎")*3+COUNTIF(D10:J10,"○")*2+COUNTIF(D10:J10,"△")</f>
        <v>9</v>
      </c>
      <c r="L10" s="37" t="s">
        <v>366</v>
      </c>
    </row>
    <row r="11" customFormat="false" ht="15" hidden="false" customHeight="true" outlineLevel="0" collapsed="false">
      <c r="A11" s="34" t="s">
        <v>361</v>
      </c>
      <c r="B11" s="34" t="s">
        <v>367</v>
      </c>
      <c r="C11" s="34" t="s">
        <v>368</v>
      </c>
      <c r="D11" s="35" t="s">
        <v>349</v>
      </c>
      <c r="E11" s="35" t="s">
        <v>349</v>
      </c>
      <c r="F11" s="35" t="s">
        <v>349</v>
      </c>
      <c r="G11" s="35" t="s">
        <v>352</v>
      </c>
      <c r="H11" s="35" t="s">
        <v>349</v>
      </c>
      <c r="I11" s="35" t="s">
        <v>352</v>
      </c>
      <c r="J11" s="35" t="s">
        <v>349</v>
      </c>
      <c r="K11" s="36" t="n">
        <f aca="false">COUNTIF(D11:J11,"◎")*3+COUNTIF(D11:J11,"○")*2+COUNTIF(D11:J11,"△")</f>
        <v>12</v>
      </c>
      <c r="L11" s="37" t="s">
        <v>369</v>
      </c>
    </row>
    <row r="12" customFormat="false" ht="15" hidden="false" customHeight="true" outlineLevel="0" collapsed="false">
      <c r="A12" s="34" t="s">
        <v>361</v>
      </c>
      <c r="B12" s="34" t="s">
        <v>370</v>
      </c>
      <c r="C12" s="34" t="s">
        <v>371</v>
      </c>
      <c r="D12" s="35" t="s">
        <v>352</v>
      </c>
      <c r="E12" s="35" t="s">
        <v>351</v>
      </c>
      <c r="F12" s="35" t="s">
        <v>350</v>
      </c>
      <c r="G12" s="35" t="s">
        <v>352</v>
      </c>
      <c r="H12" s="35" t="s">
        <v>349</v>
      </c>
      <c r="I12" s="35" t="s">
        <v>351</v>
      </c>
      <c r="J12" s="35" t="s">
        <v>352</v>
      </c>
      <c r="K12" s="36" t="n">
        <f aca="false">COUNTIF(D12:J12,"◎")*3+COUNTIF(D12:J12,"○")*2+COUNTIF(D12:J12,"△")</f>
        <v>11</v>
      </c>
      <c r="L12" s="37" t="s">
        <v>372</v>
      </c>
    </row>
    <row r="13" customFormat="false" ht="15" hidden="false" customHeight="true" outlineLevel="0" collapsed="false">
      <c r="A13" s="34" t="s">
        <v>373</v>
      </c>
      <c r="B13" s="34" t="s">
        <v>374</v>
      </c>
      <c r="C13" s="34" t="s">
        <v>375</v>
      </c>
      <c r="D13" s="35" t="s">
        <v>352</v>
      </c>
      <c r="E13" s="35" t="s">
        <v>352</v>
      </c>
      <c r="F13" s="35" t="s">
        <v>349</v>
      </c>
      <c r="G13" s="35" t="s">
        <v>352</v>
      </c>
      <c r="H13" s="35" t="s">
        <v>350</v>
      </c>
      <c r="I13" s="35" t="s">
        <v>352</v>
      </c>
      <c r="J13" s="35" t="s">
        <v>351</v>
      </c>
      <c r="K13" s="36" t="n">
        <f aca="false">COUNTIF(D13:J13,"◎")*3+COUNTIF(D13:J13,"○")*2+COUNTIF(D13:J13,"△")</f>
        <v>9</v>
      </c>
      <c r="L13" s="37" t="s">
        <v>376</v>
      </c>
    </row>
    <row r="14" customFormat="false" ht="15" hidden="false" customHeight="true" outlineLevel="0" collapsed="false">
      <c r="A14" s="34" t="s">
        <v>373</v>
      </c>
      <c r="B14" s="34" t="s">
        <v>377</v>
      </c>
      <c r="C14" s="34" t="s">
        <v>348</v>
      </c>
      <c r="D14" s="35" t="s">
        <v>349</v>
      </c>
      <c r="E14" s="35" t="s">
        <v>352</v>
      </c>
      <c r="F14" s="35" t="s">
        <v>351</v>
      </c>
      <c r="G14" s="35" t="s">
        <v>352</v>
      </c>
      <c r="H14" s="35" t="s">
        <v>350</v>
      </c>
      <c r="I14" s="35" t="s">
        <v>352</v>
      </c>
      <c r="J14" s="35" t="s">
        <v>349</v>
      </c>
      <c r="K14" s="36" t="n">
        <f aca="false">COUNTIF(D14:J14,"◎")*3+COUNTIF(D14:J14,"○")*2+COUNTIF(D14:J14,"△")</f>
        <v>10</v>
      </c>
      <c r="L14" s="37" t="s">
        <v>378</v>
      </c>
    </row>
    <row r="15" customFormat="false" ht="15" hidden="false" customHeight="true" outlineLevel="0" collapsed="false">
      <c r="A15" s="34" t="s">
        <v>373</v>
      </c>
      <c r="B15" s="34" t="s">
        <v>379</v>
      </c>
      <c r="C15" s="34" t="s">
        <v>375</v>
      </c>
      <c r="D15" s="35" t="s">
        <v>349</v>
      </c>
      <c r="E15" s="35" t="s">
        <v>349</v>
      </c>
      <c r="F15" s="35" t="s">
        <v>352</v>
      </c>
      <c r="G15" s="35" t="s">
        <v>349</v>
      </c>
      <c r="H15" s="35" t="s">
        <v>349</v>
      </c>
      <c r="I15" s="35" t="s">
        <v>349</v>
      </c>
      <c r="J15" s="35" t="s">
        <v>352</v>
      </c>
      <c r="K15" s="36" t="n">
        <f aca="false">COUNTIF(D15:J15,"◎")*3+COUNTIF(D15:J15,"○")*2+COUNTIF(D15:J15,"△")</f>
        <v>12</v>
      </c>
      <c r="L15" s="37" t="s">
        <v>380</v>
      </c>
    </row>
    <row r="16" customFormat="false" ht="15" hidden="false" customHeight="true" outlineLevel="0" collapsed="false">
      <c r="A16" s="34" t="s">
        <v>381</v>
      </c>
      <c r="B16" s="34" t="s">
        <v>382</v>
      </c>
      <c r="C16" s="34" t="s">
        <v>383</v>
      </c>
      <c r="D16" s="35" t="s">
        <v>352</v>
      </c>
      <c r="E16" s="35" t="s">
        <v>351</v>
      </c>
      <c r="F16" s="35" t="s">
        <v>352</v>
      </c>
      <c r="G16" s="35" t="s">
        <v>352</v>
      </c>
      <c r="H16" s="35" t="s">
        <v>352</v>
      </c>
      <c r="I16" s="35" t="s">
        <v>349</v>
      </c>
      <c r="J16" s="35" t="s">
        <v>351</v>
      </c>
      <c r="K16" s="36" t="n">
        <f aca="false">COUNTIF(D16:J16,"◎")*3+COUNTIF(D16:J16,"○")*2+COUNTIF(D16:J16,"△")</f>
        <v>12</v>
      </c>
      <c r="L16" s="37" t="s">
        <v>384</v>
      </c>
    </row>
    <row r="17" customFormat="false" ht="15" hidden="false" customHeight="true" outlineLevel="0" collapsed="false">
      <c r="A17" s="34" t="s">
        <v>381</v>
      </c>
      <c r="B17" s="34" t="s">
        <v>385</v>
      </c>
      <c r="C17" s="34" t="s">
        <v>375</v>
      </c>
      <c r="D17" s="35" t="s">
        <v>352</v>
      </c>
      <c r="E17" s="35" t="s">
        <v>349</v>
      </c>
      <c r="F17" s="35" t="s">
        <v>349</v>
      </c>
      <c r="G17" s="35" t="s">
        <v>350</v>
      </c>
      <c r="H17" s="35" t="s">
        <v>352</v>
      </c>
      <c r="I17" s="35" t="s">
        <v>349</v>
      </c>
      <c r="J17" s="35" t="s">
        <v>351</v>
      </c>
      <c r="K17" s="36" t="n">
        <f aca="false">COUNTIF(D17:J17,"◎")*3+COUNTIF(D17:J17,"○")*2+COUNTIF(D17:J17,"△")</f>
        <v>11</v>
      </c>
      <c r="L17" s="37" t="s">
        <v>386</v>
      </c>
    </row>
    <row r="18" customFormat="false" ht="15" hidden="false" customHeight="true" outlineLevel="0" collapsed="false">
      <c r="A18" s="34" t="s">
        <v>381</v>
      </c>
      <c r="B18" s="34" t="s">
        <v>387</v>
      </c>
      <c r="C18" s="34" t="s">
        <v>368</v>
      </c>
      <c r="D18" s="35" t="s">
        <v>350</v>
      </c>
      <c r="E18" s="35" t="s">
        <v>351</v>
      </c>
      <c r="F18" s="35" t="s">
        <v>350</v>
      </c>
      <c r="G18" s="35" t="s">
        <v>350</v>
      </c>
      <c r="H18" s="35" t="s">
        <v>351</v>
      </c>
      <c r="I18" s="35" t="s">
        <v>351</v>
      </c>
      <c r="J18" s="35" t="s">
        <v>352</v>
      </c>
      <c r="K18" s="36" t="n">
        <f aca="false">COUNTIF(D18:J18,"◎")*3+COUNTIF(D18:J18,"○")*2+COUNTIF(D18:J18,"△")</f>
        <v>10</v>
      </c>
      <c r="L18" s="37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389</v>
      </c>
    </row>
    <row r="2" customFormat="false" ht="15" hidden="false" customHeight="true" outlineLevel="0" collapsed="false">
      <c r="A2" s="39" t="s">
        <v>390</v>
      </c>
    </row>
    <row r="4" customFormat="false" ht="16.5" hidden="false" customHeight="true" outlineLevel="0" collapsed="false">
      <c r="A4" s="4" t="s">
        <v>335</v>
      </c>
      <c r="B4" s="4" t="s">
        <v>32</v>
      </c>
      <c r="C4" s="4" t="s">
        <v>391</v>
      </c>
      <c r="D4" s="4" t="s">
        <v>392</v>
      </c>
    </row>
    <row r="5" customFormat="false" ht="16.5" hidden="false" customHeight="true" outlineLevel="0" collapsed="false">
      <c r="A5" s="5" t="s">
        <v>346</v>
      </c>
      <c r="B5" s="5" t="s">
        <v>347</v>
      </c>
      <c r="C5" s="5" t="s">
        <v>393</v>
      </c>
      <c r="D5" s="5" t="s">
        <v>394</v>
      </c>
    </row>
    <row r="6" customFormat="false" ht="16.5" hidden="false" customHeight="true" outlineLevel="0" collapsed="false">
      <c r="A6" s="5" t="s">
        <v>346</v>
      </c>
      <c r="B6" s="5" t="s">
        <v>347</v>
      </c>
      <c r="C6" s="5" t="s">
        <v>395</v>
      </c>
      <c r="D6" s="5" t="s">
        <v>396</v>
      </c>
    </row>
    <row r="7" customFormat="false" ht="16.5" hidden="false" customHeight="true" outlineLevel="0" collapsed="false">
      <c r="A7" s="5" t="s">
        <v>346</v>
      </c>
      <c r="B7" s="5" t="s">
        <v>347</v>
      </c>
      <c r="C7" s="5" t="s">
        <v>397</v>
      </c>
      <c r="D7" s="5" t="s">
        <v>398</v>
      </c>
    </row>
    <row r="8" customFormat="false" ht="16.5" hidden="false" customHeight="true" outlineLevel="0" collapsed="false">
      <c r="A8" s="5" t="s">
        <v>346</v>
      </c>
      <c r="B8" s="5" t="s">
        <v>354</v>
      </c>
      <c r="C8" s="5" t="s">
        <v>399</v>
      </c>
      <c r="D8" s="5" t="s">
        <v>400</v>
      </c>
    </row>
    <row r="9" customFormat="false" ht="16.5" hidden="false" customHeight="true" outlineLevel="0" collapsed="false">
      <c r="A9" s="5" t="s">
        <v>346</v>
      </c>
      <c r="B9" s="5" t="s">
        <v>354</v>
      </c>
      <c r="C9" s="5" t="s">
        <v>401</v>
      </c>
      <c r="D9" s="5" t="s">
        <v>402</v>
      </c>
    </row>
    <row r="10" customFormat="false" ht="16.5" hidden="false" customHeight="true" outlineLevel="0" collapsed="false">
      <c r="A10" s="5" t="s">
        <v>346</v>
      </c>
      <c r="B10" s="5" t="s">
        <v>354</v>
      </c>
      <c r="C10" s="5" t="s">
        <v>403</v>
      </c>
      <c r="D10" s="5" t="s">
        <v>404</v>
      </c>
    </row>
    <row r="11" customFormat="false" ht="16.5" hidden="false" customHeight="true" outlineLevel="0" collapsed="false">
      <c r="A11" s="5" t="s">
        <v>346</v>
      </c>
      <c r="B11" s="5" t="s">
        <v>357</v>
      </c>
      <c r="C11" s="5" t="s">
        <v>405</v>
      </c>
      <c r="D11" s="7" t="s">
        <v>406</v>
      </c>
    </row>
    <row r="12" customFormat="false" ht="16.5" hidden="false" customHeight="true" outlineLevel="0" collapsed="false">
      <c r="A12" s="5" t="s">
        <v>346</v>
      </c>
      <c r="B12" s="5" t="s">
        <v>357</v>
      </c>
      <c r="C12" s="5" t="s">
        <v>407</v>
      </c>
      <c r="D12" s="5" t="s">
        <v>408</v>
      </c>
    </row>
    <row r="13" customFormat="false" ht="16.5" hidden="false" customHeight="true" outlineLevel="0" collapsed="false">
      <c r="A13" s="5" t="s">
        <v>346</v>
      </c>
      <c r="B13" s="5" t="s">
        <v>357</v>
      </c>
      <c r="C13" s="5" t="s">
        <v>409</v>
      </c>
      <c r="D13" s="5" t="s">
        <v>410</v>
      </c>
    </row>
    <row r="14" customFormat="false" ht="16.5" hidden="false" customHeight="true" outlineLevel="0" collapsed="false">
      <c r="A14" s="5" t="s">
        <v>346</v>
      </c>
      <c r="B14" s="5" t="s">
        <v>359</v>
      </c>
      <c r="C14" s="5" t="s">
        <v>411</v>
      </c>
      <c r="D14" s="5" t="s">
        <v>412</v>
      </c>
    </row>
    <row r="15" customFormat="false" ht="16.5" hidden="false" customHeight="true" outlineLevel="0" collapsed="false">
      <c r="A15" s="5" t="s">
        <v>346</v>
      </c>
      <c r="B15" s="5" t="s">
        <v>359</v>
      </c>
      <c r="C15" s="5" t="s">
        <v>413</v>
      </c>
      <c r="D15" s="5" t="s">
        <v>414</v>
      </c>
    </row>
    <row r="16" customFormat="false" ht="16.5" hidden="false" customHeight="true" outlineLevel="0" collapsed="false">
      <c r="A16" s="5" t="s">
        <v>346</v>
      </c>
      <c r="B16" s="5" t="s">
        <v>359</v>
      </c>
      <c r="C16" s="5" t="s">
        <v>415</v>
      </c>
      <c r="D16" s="5" t="s">
        <v>416</v>
      </c>
    </row>
    <row r="17" customFormat="false" ht="16.5" hidden="false" customHeight="true" outlineLevel="0" collapsed="false">
      <c r="A17" s="5" t="s">
        <v>361</v>
      </c>
      <c r="B17" s="5" t="s">
        <v>362</v>
      </c>
      <c r="C17" s="5" t="s">
        <v>417</v>
      </c>
      <c r="D17" s="5" t="s">
        <v>418</v>
      </c>
    </row>
    <row r="18" customFormat="false" ht="16.5" hidden="false" customHeight="true" outlineLevel="0" collapsed="false">
      <c r="A18" s="5" t="s">
        <v>361</v>
      </c>
      <c r="B18" s="5" t="s">
        <v>362</v>
      </c>
      <c r="C18" s="5" t="s">
        <v>419</v>
      </c>
      <c r="D18" s="5" t="s">
        <v>420</v>
      </c>
    </row>
    <row r="19" customFormat="false" ht="16.5" hidden="false" customHeight="true" outlineLevel="0" collapsed="false">
      <c r="A19" s="5" t="s">
        <v>361</v>
      </c>
      <c r="B19" s="5" t="s">
        <v>362</v>
      </c>
      <c r="C19" s="5" t="s">
        <v>421</v>
      </c>
      <c r="D19" s="5" t="s">
        <v>422</v>
      </c>
    </row>
    <row r="20" customFormat="false" ht="16.5" hidden="false" customHeight="true" outlineLevel="0" collapsed="false">
      <c r="A20" s="5" t="s">
        <v>361</v>
      </c>
      <c r="B20" s="5" t="s">
        <v>365</v>
      </c>
      <c r="C20" s="5" t="s">
        <v>423</v>
      </c>
      <c r="D20" s="5" t="s">
        <v>424</v>
      </c>
    </row>
    <row r="21" customFormat="false" ht="16.5" hidden="false" customHeight="true" outlineLevel="0" collapsed="false">
      <c r="A21" s="5" t="s">
        <v>361</v>
      </c>
      <c r="B21" s="5" t="s">
        <v>365</v>
      </c>
      <c r="C21" s="5" t="s">
        <v>425</v>
      </c>
      <c r="D21" s="5" t="s">
        <v>426</v>
      </c>
    </row>
    <row r="22" customFormat="false" ht="16.5" hidden="false" customHeight="true" outlineLevel="0" collapsed="false">
      <c r="A22" s="5" t="s">
        <v>361</v>
      </c>
      <c r="B22" s="5" t="s">
        <v>365</v>
      </c>
      <c r="C22" s="5" t="s">
        <v>427</v>
      </c>
      <c r="D22" s="5" t="s">
        <v>428</v>
      </c>
    </row>
    <row r="23" customFormat="false" ht="16.5" hidden="false" customHeight="true" outlineLevel="0" collapsed="false">
      <c r="A23" s="5" t="s">
        <v>361</v>
      </c>
      <c r="B23" s="5" t="s">
        <v>367</v>
      </c>
      <c r="C23" s="5" t="s">
        <v>429</v>
      </c>
      <c r="D23" s="5" t="s">
        <v>430</v>
      </c>
    </row>
    <row r="24" customFormat="false" ht="16.5" hidden="false" customHeight="true" outlineLevel="0" collapsed="false">
      <c r="A24" s="5" t="s">
        <v>361</v>
      </c>
      <c r="B24" s="5" t="s">
        <v>367</v>
      </c>
      <c r="C24" s="5" t="s">
        <v>431</v>
      </c>
      <c r="D24" s="7" t="s">
        <v>432</v>
      </c>
    </row>
    <row r="25" customFormat="false" ht="16.5" hidden="false" customHeight="true" outlineLevel="0" collapsed="false">
      <c r="A25" s="5" t="s">
        <v>361</v>
      </c>
      <c r="B25" s="5" t="s">
        <v>367</v>
      </c>
      <c r="C25" s="5" t="s">
        <v>433</v>
      </c>
      <c r="D25" s="5" t="s">
        <v>434</v>
      </c>
    </row>
    <row r="26" customFormat="false" ht="16.5" hidden="false" customHeight="true" outlineLevel="0" collapsed="false">
      <c r="A26" s="5" t="s">
        <v>361</v>
      </c>
      <c r="B26" s="5" t="s">
        <v>370</v>
      </c>
      <c r="C26" s="5" t="s">
        <v>435</v>
      </c>
      <c r="D26" s="5" t="s">
        <v>436</v>
      </c>
    </row>
    <row r="27" customFormat="false" ht="16.5" hidden="false" customHeight="true" outlineLevel="0" collapsed="false">
      <c r="A27" s="5" t="s">
        <v>361</v>
      </c>
      <c r="B27" s="5" t="s">
        <v>370</v>
      </c>
      <c r="C27" s="5" t="s">
        <v>437</v>
      </c>
      <c r="D27" s="5" t="s">
        <v>438</v>
      </c>
    </row>
    <row r="28" customFormat="false" ht="16.5" hidden="false" customHeight="true" outlineLevel="0" collapsed="false">
      <c r="A28" s="5" t="s">
        <v>361</v>
      </c>
      <c r="B28" s="5" t="s">
        <v>370</v>
      </c>
      <c r="C28" s="5" t="s">
        <v>439</v>
      </c>
      <c r="D28" s="5" t="s">
        <v>440</v>
      </c>
    </row>
    <row r="29" customFormat="false" ht="16.5" hidden="false" customHeight="true" outlineLevel="0" collapsed="false">
      <c r="A29" s="5" t="s">
        <v>373</v>
      </c>
      <c r="B29" s="5" t="s">
        <v>374</v>
      </c>
      <c r="C29" s="5" t="s">
        <v>441</v>
      </c>
      <c r="D29" s="5" t="s">
        <v>442</v>
      </c>
    </row>
    <row r="30" customFormat="false" ht="16.5" hidden="false" customHeight="true" outlineLevel="0" collapsed="false">
      <c r="A30" s="5" t="s">
        <v>373</v>
      </c>
      <c r="B30" s="5" t="s">
        <v>374</v>
      </c>
      <c r="C30" s="5" t="s">
        <v>443</v>
      </c>
      <c r="D30" s="5" t="s">
        <v>444</v>
      </c>
    </row>
    <row r="31" customFormat="false" ht="16.5" hidden="false" customHeight="true" outlineLevel="0" collapsed="false">
      <c r="A31" s="5" t="s">
        <v>373</v>
      </c>
      <c r="B31" s="5" t="s">
        <v>374</v>
      </c>
      <c r="C31" s="5" t="s">
        <v>445</v>
      </c>
      <c r="D31" s="5" t="s">
        <v>446</v>
      </c>
    </row>
    <row r="32" customFormat="false" ht="16.5" hidden="false" customHeight="true" outlineLevel="0" collapsed="false">
      <c r="A32" s="5" t="s">
        <v>373</v>
      </c>
      <c r="B32" s="5" t="s">
        <v>377</v>
      </c>
      <c r="C32" s="5" t="s">
        <v>447</v>
      </c>
      <c r="D32" s="5" t="s">
        <v>448</v>
      </c>
    </row>
    <row r="33" customFormat="false" ht="16.5" hidden="false" customHeight="true" outlineLevel="0" collapsed="false">
      <c r="A33" s="5" t="s">
        <v>373</v>
      </c>
      <c r="B33" s="5" t="s">
        <v>377</v>
      </c>
      <c r="C33" s="5" t="s">
        <v>449</v>
      </c>
      <c r="D33" s="5" t="s">
        <v>450</v>
      </c>
    </row>
    <row r="34" customFormat="false" ht="16.5" hidden="false" customHeight="true" outlineLevel="0" collapsed="false">
      <c r="A34" s="5" t="s">
        <v>373</v>
      </c>
      <c r="B34" s="5" t="s">
        <v>377</v>
      </c>
      <c r="C34" s="5" t="s">
        <v>451</v>
      </c>
      <c r="D34" s="5" t="s">
        <v>452</v>
      </c>
    </row>
    <row r="35" customFormat="false" ht="16.5" hidden="false" customHeight="true" outlineLevel="0" collapsed="false">
      <c r="A35" s="5" t="s">
        <v>373</v>
      </c>
      <c r="B35" s="5" t="s">
        <v>379</v>
      </c>
      <c r="C35" s="5" t="s">
        <v>453</v>
      </c>
      <c r="D35" s="5" t="s">
        <v>454</v>
      </c>
    </row>
    <row r="36" customFormat="false" ht="16.5" hidden="false" customHeight="true" outlineLevel="0" collapsed="false">
      <c r="A36" s="5" t="s">
        <v>373</v>
      </c>
      <c r="B36" s="5" t="s">
        <v>379</v>
      </c>
      <c r="C36" s="5" t="s">
        <v>455</v>
      </c>
      <c r="D36" s="5" t="s">
        <v>456</v>
      </c>
    </row>
    <row r="37" customFormat="false" ht="16.5" hidden="false" customHeight="true" outlineLevel="0" collapsed="false">
      <c r="A37" s="5" t="s">
        <v>373</v>
      </c>
      <c r="B37" s="5" t="s">
        <v>379</v>
      </c>
      <c r="C37" s="5" t="s">
        <v>457</v>
      </c>
      <c r="D37" s="5" t="s">
        <v>458</v>
      </c>
    </row>
    <row r="38" customFormat="false" ht="16.5" hidden="false" customHeight="true" outlineLevel="0" collapsed="false">
      <c r="A38" s="5" t="s">
        <v>381</v>
      </c>
      <c r="B38" s="5" t="s">
        <v>382</v>
      </c>
      <c r="C38" s="5" t="s">
        <v>459</v>
      </c>
      <c r="D38" s="5" t="s">
        <v>460</v>
      </c>
    </row>
    <row r="39" customFormat="false" ht="16.5" hidden="false" customHeight="true" outlineLevel="0" collapsed="false">
      <c r="A39" s="5" t="s">
        <v>381</v>
      </c>
      <c r="B39" s="5" t="s">
        <v>382</v>
      </c>
      <c r="C39" s="5" t="s">
        <v>461</v>
      </c>
      <c r="D39" s="5" t="s">
        <v>462</v>
      </c>
    </row>
    <row r="40" customFormat="false" ht="16.5" hidden="false" customHeight="true" outlineLevel="0" collapsed="false">
      <c r="A40" s="5" t="s">
        <v>381</v>
      </c>
      <c r="B40" s="5" t="s">
        <v>382</v>
      </c>
      <c r="C40" s="5" t="s">
        <v>463</v>
      </c>
      <c r="D40" s="5" t="s">
        <v>464</v>
      </c>
    </row>
    <row r="41" customFormat="false" ht="16.5" hidden="false" customHeight="true" outlineLevel="0" collapsed="false">
      <c r="A41" s="5" t="s">
        <v>381</v>
      </c>
      <c r="B41" s="5" t="s">
        <v>385</v>
      </c>
      <c r="C41" s="5" t="s">
        <v>465</v>
      </c>
      <c r="D41" s="5" t="s">
        <v>466</v>
      </c>
    </row>
    <row r="42" customFormat="false" ht="16.5" hidden="false" customHeight="true" outlineLevel="0" collapsed="false">
      <c r="A42" s="5" t="s">
        <v>381</v>
      </c>
      <c r="B42" s="5" t="s">
        <v>385</v>
      </c>
      <c r="C42" s="5" t="s">
        <v>467</v>
      </c>
      <c r="D42" s="5" t="s">
        <v>468</v>
      </c>
    </row>
    <row r="43" customFormat="false" ht="16.5" hidden="false" customHeight="true" outlineLevel="0" collapsed="false">
      <c r="A43" s="5" t="s">
        <v>381</v>
      </c>
      <c r="B43" s="5" t="s">
        <v>385</v>
      </c>
      <c r="C43" s="5" t="s">
        <v>469</v>
      </c>
      <c r="D43" s="5" t="s">
        <v>470</v>
      </c>
    </row>
    <row r="44" customFormat="false" ht="16.5" hidden="false" customHeight="true" outlineLevel="0" collapsed="false">
      <c r="A44" s="5" t="s">
        <v>381</v>
      </c>
      <c r="B44" s="5" t="s">
        <v>387</v>
      </c>
      <c r="C44" s="5" t="s">
        <v>471</v>
      </c>
      <c r="D44" s="5" t="s">
        <v>472</v>
      </c>
    </row>
    <row r="45" customFormat="false" ht="16.5" hidden="false" customHeight="true" outlineLevel="0" collapsed="false">
      <c r="A45" s="5" t="s">
        <v>381</v>
      </c>
      <c r="B45" s="5" t="s">
        <v>387</v>
      </c>
      <c r="C45" s="5" t="s">
        <v>473</v>
      </c>
      <c r="D45" s="5" t="s">
        <v>474</v>
      </c>
    </row>
    <row r="46" customFormat="false" ht="16.5" hidden="false" customHeight="true" outlineLevel="0" collapsed="false">
      <c r="A46" s="5" t="s">
        <v>381</v>
      </c>
      <c r="B46" s="5" t="s">
        <v>387</v>
      </c>
      <c r="C46" s="5" t="s">
        <v>475</v>
      </c>
      <c r="D46" s="5" t="s">
        <v>476</v>
      </c>
    </row>
  </sheetData>
  <autoFilter ref="A4:D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52"/>
  </cols>
  <sheetData>
    <row r="1" customFormat="false" ht="17.25" hidden="false" customHeight="true" outlineLevel="0" collapsed="false">
      <c r="A1" s="2" t="s">
        <v>477</v>
      </c>
    </row>
    <row r="2" customFormat="false" ht="15" hidden="false" customHeight="true" outlineLevel="0" collapsed="false">
      <c r="A2" s="3" t="s">
        <v>478</v>
      </c>
    </row>
    <row r="4" customFormat="false" ht="48" hidden="false" customHeight="true" outlineLevel="0" collapsed="false">
      <c r="A4" s="4" t="s">
        <v>335</v>
      </c>
      <c r="B4" s="4" t="s">
        <v>32</v>
      </c>
      <c r="C4" s="4" t="s">
        <v>391</v>
      </c>
      <c r="D4" s="4" t="s">
        <v>479</v>
      </c>
      <c r="E4" s="4" t="s">
        <v>480</v>
      </c>
      <c r="F4" s="4" t="s">
        <v>481</v>
      </c>
      <c r="G4" s="4" t="s">
        <v>482</v>
      </c>
      <c r="H4" s="4" t="s">
        <v>483</v>
      </c>
    </row>
    <row r="5" customFormat="false" ht="16.5" hidden="false" customHeight="true" outlineLevel="0" collapsed="false">
      <c r="A5" s="5" t="s">
        <v>346</v>
      </c>
      <c r="B5" s="5" t="s">
        <v>347</v>
      </c>
      <c r="C5" s="5" t="s">
        <v>393</v>
      </c>
      <c r="D5" s="5" t="s">
        <v>484</v>
      </c>
      <c r="E5" s="6" t="s">
        <v>166</v>
      </c>
      <c r="F5" s="6" t="s">
        <v>485</v>
      </c>
      <c r="G5" s="20" t="s">
        <v>486</v>
      </c>
      <c r="H5" s="5" t="s">
        <v>487</v>
      </c>
    </row>
    <row r="6" customFormat="false" ht="16.5" hidden="false" customHeight="true" outlineLevel="0" collapsed="false">
      <c r="A6" s="5" t="s">
        <v>346</v>
      </c>
      <c r="B6" s="5" t="s">
        <v>347</v>
      </c>
      <c r="C6" s="5" t="s">
        <v>393</v>
      </c>
      <c r="D6" s="5" t="s">
        <v>488</v>
      </c>
      <c r="E6" s="6" t="s">
        <v>166</v>
      </c>
      <c r="F6" s="6" t="s">
        <v>489</v>
      </c>
      <c r="G6" s="6" t="s">
        <v>490</v>
      </c>
      <c r="H6" s="5" t="s">
        <v>491</v>
      </c>
    </row>
    <row r="7" customFormat="false" ht="16.5" hidden="false" customHeight="true" outlineLevel="0" collapsed="false">
      <c r="A7" s="5" t="s">
        <v>346</v>
      </c>
      <c r="B7" s="5" t="s">
        <v>347</v>
      </c>
      <c r="C7" s="5" t="s">
        <v>393</v>
      </c>
      <c r="D7" s="5" t="s">
        <v>492</v>
      </c>
      <c r="E7" s="6" t="s">
        <v>166</v>
      </c>
      <c r="F7" s="6" t="s">
        <v>485</v>
      </c>
      <c r="G7" s="20" t="s">
        <v>486</v>
      </c>
      <c r="H7" s="5" t="s">
        <v>493</v>
      </c>
    </row>
    <row r="8" customFormat="false" ht="16.5" hidden="false" customHeight="true" outlineLevel="0" collapsed="false">
      <c r="A8" s="5" t="s">
        <v>346</v>
      </c>
      <c r="B8" s="5" t="s">
        <v>347</v>
      </c>
      <c r="C8" s="5" t="s">
        <v>393</v>
      </c>
      <c r="D8" s="5" t="s">
        <v>494</v>
      </c>
      <c r="E8" s="6" t="s">
        <v>166</v>
      </c>
      <c r="F8" s="6" t="s">
        <v>495</v>
      </c>
      <c r="G8" s="20" t="s">
        <v>496</v>
      </c>
      <c r="H8" s="5" t="s">
        <v>497</v>
      </c>
    </row>
    <row r="9" customFormat="false" ht="16.5" hidden="false" customHeight="true" outlineLevel="0" collapsed="false">
      <c r="A9" s="40" t="s">
        <v>346</v>
      </c>
      <c r="B9" s="40" t="s">
        <v>347</v>
      </c>
      <c r="C9" s="40" t="s">
        <v>393</v>
      </c>
      <c r="D9" s="40" t="s">
        <v>498</v>
      </c>
      <c r="E9" s="41" t="s">
        <v>499</v>
      </c>
      <c r="F9" s="41" t="s">
        <v>485</v>
      </c>
      <c r="G9" s="24" t="s">
        <v>496</v>
      </c>
      <c r="H9" s="40" t="s">
        <v>500</v>
      </c>
    </row>
    <row r="10" customFormat="false" ht="16.5" hidden="false" customHeight="true" outlineLevel="0" collapsed="false">
      <c r="A10" s="5" t="s">
        <v>346</v>
      </c>
      <c r="B10" s="5" t="s">
        <v>347</v>
      </c>
      <c r="C10" s="5" t="s">
        <v>395</v>
      </c>
      <c r="D10" s="5" t="s">
        <v>501</v>
      </c>
      <c r="E10" s="6" t="s">
        <v>166</v>
      </c>
      <c r="F10" s="6" t="s">
        <v>485</v>
      </c>
      <c r="G10" s="20" t="s">
        <v>486</v>
      </c>
      <c r="H10" s="5" t="s">
        <v>502</v>
      </c>
    </row>
    <row r="11" customFormat="false" ht="16.5" hidden="false" customHeight="true" outlineLevel="0" collapsed="false">
      <c r="A11" s="5" t="s">
        <v>346</v>
      </c>
      <c r="B11" s="5" t="s">
        <v>347</v>
      </c>
      <c r="C11" s="5" t="s">
        <v>395</v>
      </c>
      <c r="D11" s="5" t="s">
        <v>503</v>
      </c>
      <c r="E11" s="6" t="s">
        <v>166</v>
      </c>
      <c r="F11" s="6" t="s">
        <v>504</v>
      </c>
      <c r="G11" s="20" t="s">
        <v>496</v>
      </c>
      <c r="H11" s="5" t="s">
        <v>505</v>
      </c>
    </row>
    <row r="12" customFormat="false" ht="16.5" hidden="false" customHeight="true" outlineLevel="0" collapsed="false">
      <c r="A12" s="5" t="s">
        <v>346</v>
      </c>
      <c r="B12" s="5" t="s">
        <v>347</v>
      </c>
      <c r="C12" s="5" t="s">
        <v>395</v>
      </c>
      <c r="D12" s="5" t="s">
        <v>506</v>
      </c>
      <c r="E12" s="6" t="s">
        <v>166</v>
      </c>
      <c r="F12" s="6" t="s">
        <v>495</v>
      </c>
      <c r="G12" s="20" t="s">
        <v>486</v>
      </c>
      <c r="H12" s="5" t="s">
        <v>507</v>
      </c>
    </row>
    <row r="13" customFormat="false" ht="16.5" hidden="false" customHeight="true" outlineLevel="0" collapsed="false">
      <c r="A13" s="5" t="s">
        <v>346</v>
      </c>
      <c r="B13" s="5" t="s">
        <v>347</v>
      </c>
      <c r="C13" s="5" t="s">
        <v>395</v>
      </c>
      <c r="D13" s="5" t="s">
        <v>508</v>
      </c>
      <c r="E13" s="6" t="s">
        <v>166</v>
      </c>
      <c r="F13" s="6" t="s">
        <v>485</v>
      </c>
      <c r="G13" s="20" t="s">
        <v>486</v>
      </c>
      <c r="H13" s="5" t="s">
        <v>509</v>
      </c>
    </row>
    <row r="14" customFormat="false" ht="16.5" hidden="false" customHeight="true" outlineLevel="0" collapsed="false">
      <c r="A14" s="40" t="s">
        <v>346</v>
      </c>
      <c r="B14" s="40" t="s">
        <v>347</v>
      </c>
      <c r="C14" s="40" t="s">
        <v>395</v>
      </c>
      <c r="D14" s="40" t="s">
        <v>510</v>
      </c>
      <c r="E14" s="41" t="s">
        <v>499</v>
      </c>
      <c r="F14" s="41" t="s">
        <v>504</v>
      </c>
      <c r="G14" s="24" t="s">
        <v>511</v>
      </c>
      <c r="H14" s="40" t="s">
        <v>512</v>
      </c>
    </row>
    <row r="15" customFormat="false" ht="16.5" hidden="false" customHeight="true" outlineLevel="0" collapsed="false">
      <c r="A15" s="5" t="s">
        <v>346</v>
      </c>
      <c r="B15" s="5" t="s">
        <v>347</v>
      </c>
      <c r="C15" s="5" t="s">
        <v>397</v>
      </c>
      <c r="D15" s="5" t="s">
        <v>513</v>
      </c>
      <c r="E15" s="6" t="s">
        <v>166</v>
      </c>
      <c r="F15" s="6" t="s">
        <v>489</v>
      </c>
      <c r="G15" s="20" t="s">
        <v>486</v>
      </c>
      <c r="H15" s="5" t="s">
        <v>514</v>
      </c>
    </row>
    <row r="16" customFormat="false" ht="16.5" hidden="false" customHeight="true" outlineLevel="0" collapsed="false">
      <c r="A16" s="5" t="s">
        <v>346</v>
      </c>
      <c r="B16" s="5" t="s">
        <v>347</v>
      </c>
      <c r="C16" s="5" t="s">
        <v>397</v>
      </c>
      <c r="D16" s="5" t="s">
        <v>515</v>
      </c>
      <c r="E16" s="6" t="s">
        <v>166</v>
      </c>
      <c r="F16" s="6" t="s">
        <v>489</v>
      </c>
      <c r="G16" s="20" t="s">
        <v>486</v>
      </c>
      <c r="H16" s="5" t="s">
        <v>516</v>
      </c>
    </row>
    <row r="17" customFormat="false" ht="16.5" hidden="false" customHeight="true" outlineLevel="0" collapsed="false">
      <c r="A17" s="5" t="s">
        <v>346</v>
      </c>
      <c r="B17" s="5" t="s">
        <v>347</v>
      </c>
      <c r="C17" s="5" t="s">
        <v>397</v>
      </c>
      <c r="D17" s="5" t="s">
        <v>517</v>
      </c>
      <c r="E17" s="6" t="s">
        <v>166</v>
      </c>
      <c r="F17" s="6" t="s">
        <v>489</v>
      </c>
      <c r="G17" s="6" t="s">
        <v>490</v>
      </c>
      <c r="H17" s="7" t="s">
        <v>518</v>
      </c>
    </row>
    <row r="18" customFormat="false" ht="16.5" hidden="false" customHeight="true" outlineLevel="0" collapsed="false">
      <c r="A18" s="5" t="s">
        <v>346</v>
      </c>
      <c r="B18" s="5" t="s">
        <v>347</v>
      </c>
      <c r="C18" s="5" t="s">
        <v>397</v>
      </c>
      <c r="D18" s="5" t="s">
        <v>519</v>
      </c>
      <c r="E18" s="6" t="s">
        <v>166</v>
      </c>
      <c r="F18" s="6" t="s">
        <v>489</v>
      </c>
      <c r="G18" s="20" t="s">
        <v>520</v>
      </c>
      <c r="H18" s="5" t="s">
        <v>521</v>
      </c>
    </row>
    <row r="19" customFormat="false" ht="32.25" hidden="false" customHeight="true" outlineLevel="0" collapsed="false">
      <c r="A19" s="40" t="s">
        <v>346</v>
      </c>
      <c r="B19" s="40" t="s">
        <v>347</v>
      </c>
      <c r="C19" s="40" t="s">
        <v>397</v>
      </c>
      <c r="D19" s="40" t="s">
        <v>522</v>
      </c>
      <c r="E19" s="41" t="s">
        <v>499</v>
      </c>
      <c r="F19" s="41" t="s">
        <v>485</v>
      </c>
      <c r="G19" s="24" t="s">
        <v>496</v>
      </c>
      <c r="H19" s="40" t="s">
        <v>523</v>
      </c>
    </row>
    <row r="20" customFormat="false" ht="16.5" hidden="false" customHeight="true" outlineLevel="0" collapsed="false">
      <c r="A20" s="5" t="s">
        <v>346</v>
      </c>
      <c r="B20" s="5" t="s">
        <v>354</v>
      </c>
      <c r="C20" s="5" t="s">
        <v>399</v>
      </c>
      <c r="D20" s="5" t="s">
        <v>524</v>
      </c>
      <c r="E20" s="6" t="s">
        <v>166</v>
      </c>
      <c r="F20" s="6" t="s">
        <v>525</v>
      </c>
      <c r="G20" s="6" t="s">
        <v>490</v>
      </c>
      <c r="H20" s="5" t="s">
        <v>526</v>
      </c>
    </row>
    <row r="21" customFormat="false" ht="16.5" hidden="false" customHeight="true" outlineLevel="0" collapsed="false">
      <c r="A21" s="5" t="s">
        <v>346</v>
      </c>
      <c r="B21" s="5" t="s">
        <v>354</v>
      </c>
      <c r="C21" s="5" t="s">
        <v>399</v>
      </c>
      <c r="D21" s="5" t="s">
        <v>527</v>
      </c>
      <c r="E21" s="6" t="s">
        <v>166</v>
      </c>
      <c r="F21" s="6" t="s">
        <v>489</v>
      </c>
      <c r="G21" s="20" t="s">
        <v>486</v>
      </c>
      <c r="H21" s="5" t="s">
        <v>527</v>
      </c>
    </row>
    <row r="22" customFormat="false" ht="16.5" hidden="false" customHeight="true" outlineLevel="0" collapsed="false">
      <c r="A22" s="5" t="s">
        <v>346</v>
      </c>
      <c r="B22" s="5" t="s">
        <v>354</v>
      </c>
      <c r="C22" s="5" t="s">
        <v>399</v>
      </c>
      <c r="D22" s="5" t="s">
        <v>528</v>
      </c>
      <c r="E22" s="6" t="s">
        <v>166</v>
      </c>
      <c r="F22" s="6" t="s">
        <v>489</v>
      </c>
      <c r="G22" s="20" t="s">
        <v>486</v>
      </c>
      <c r="H22" s="5" t="s">
        <v>529</v>
      </c>
    </row>
    <row r="23" customFormat="false" ht="16.5" hidden="false" customHeight="true" outlineLevel="0" collapsed="false">
      <c r="A23" s="5" t="s">
        <v>346</v>
      </c>
      <c r="B23" s="5" t="s">
        <v>354</v>
      </c>
      <c r="C23" s="5" t="s">
        <v>399</v>
      </c>
      <c r="D23" s="5" t="s">
        <v>530</v>
      </c>
      <c r="E23" s="6" t="s">
        <v>166</v>
      </c>
      <c r="F23" s="6" t="s">
        <v>489</v>
      </c>
      <c r="G23" s="20" t="s">
        <v>496</v>
      </c>
      <c r="H23" s="5" t="s">
        <v>531</v>
      </c>
    </row>
    <row r="24" customFormat="false" ht="16.5" hidden="false" customHeight="true" outlineLevel="0" collapsed="false">
      <c r="A24" s="40" t="s">
        <v>346</v>
      </c>
      <c r="B24" s="40" t="s">
        <v>354</v>
      </c>
      <c r="C24" s="40" t="s">
        <v>399</v>
      </c>
      <c r="D24" s="40" t="s">
        <v>532</v>
      </c>
      <c r="E24" s="41" t="s">
        <v>499</v>
      </c>
      <c r="F24" s="41" t="s">
        <v>533</v>
      </c>
      <c r="G24" s="24" t="s">
        <v>511</v>
      </c>
      <c r="H24" s="40" t="s">
        <v>534</v>
      </c>
    </row>
    <row r="25" customFormat="false" ht="16.5" hidden="false" customHeight="true" outlineLevel="0" collapsed="false">
      <c r="A25" s="5" t="s">
        <v>346</v>
      </c>
      <c r="B25" s="5" t="s">
        <v>354</v>
      </c>
      <c r="C25" s="5" t="s">
        <v>401</v>
      </c>
      <c r="D25" s="5" t="s">
        <v>535</v>
      </c>
      <c r="E25" s="6" t="s">
        <v>166</v>
      </c>
      <c r="F25" s="6" t="s">
        <v>489</v>
      </c>
      <c r="G25" s="20" t="s">
        <v>486</v>
      </c>
      <c r="H25" s="5" t="s">
        <v>536</v>
      </c>
    </row>
    <row r="26" customFormat="false" ht="16.5" hidden="false" customHeight="true" outlineLevel="0" collapsed="false">
      <c r="A26" s="5" t="s">
        <v>346</v>
      </c>
      <c r="B26" s="5" t="s">
        <v>354</v>
      </c>
      <c r="C26" s="5" t="s">
        <v>401</v>
      </c>
      <c r="D26" s="5" t="s">
        <v>537</v>
      </c>
      <c r="E26" s="6" t="s">
        <v>166</v>
      </c>
      <c r="F26" s="6" t="s">
        <v>485</v>
      </c>
      <c r="G26" s="20" t="s">
        <v>486</v>
      </c>
      <c r="H26" s="5" t="s">
        <v>538</v>
      </c>
    </row>
    <row r="27" customFormat="false" ht="32.25" hidden="false" customHeight="true" outlineLevel="0" collapsed="false">
      <c r="A27" s="5" t="s">
        <v>346</v>
      </c>
      <c r="B27" s="5" t="s">
        <v>354</v>
      </c>
      <c r="C27" s="5" t="s">
        <v>401</v>
      </c>
      <c r="D27" s="5" t="s">
        <v>539</v>
      </c>
      <c r="E27" s="6" t="s">
        <v>166</v>
      </c>
      <c r="F27" s="6" t="s">
        <v>485</v>
      </c>
      <c r="G27" s="20" t="s">
        <v>486</v>
      </c>
      <c r="H27" s="5" t="s">
        <v>540</v>
      </c>
    </row>
    <row r="28" customFormat="false" ht="16.5" hidden="false" customHeight="true" outlineLevel="0" collapsed="false">
      <c r="A28" s="5" t="s">
        <v>346</v>
      </c>
      <c r="B28" s="5" t="s">
        <v>354</v>
      </c>
      <c r="C28" s="5" t="s">
        <v>401</v>
      </c>
      <c r="D28" s="5" t="s">
        <v>541</v>
      </c>
      <c r="E28" s="6" t="s">
        <v>166</v>
      </c>
      <c r="F28" s="6" t="s">
        <v>489</v>
      </c>
      <c r="G28" s="20" t="s">
        <v>496</v>
      </c>
      <c r="H28" s="5" t="s">
        <v>542</v>
      </c>
    </row>
    <row r="29" customFormat="false" ht="16.5" hidden="false" customHeight="true" outlineLevel="0" collapsed="false">
      <c r="A29" s="40" t="s">
        <v>346</v>
      </c>
      <c r="B29" s="40" t="s">
        <v>354</v>
      </c>
      <c r="C29" s="40" t="s">
        <v>401</v>
      </c>
      <c r="D29" s="40" t="s">
        <v>543</v>
      </c>
      <c r="E29" s="41" t="s">
        <v>499</v>
      </c>
      <c r="F29" s="41" t="s">
        <v>489</v>
      </c>
      <c r="G29" s="24" t="s">
        <v>511</v>
      </c>
      <c r="H29" s="40" t="s">
        <v>544</v>
      </c>
    </row>
    <row r="30" customFormat="false" ht="16.5" hidden="false" customHeight="true" outlineLevel="0" collapsed="false">
      <c r="A30" s="5" t="s">
        <v>346</v>
      </c>
      <c r="B30" s="5" t="s">
        <v>354</v>
      </c>
      <c r="C30" s="5" t="s">
        <v>403</v>
      </c>
      <c r="D30" s="5" t="s">
        <v>545</v>
      </c>
      <c r="E30" s="6" t="s">
        <v>166</v>
      </c>
      <c r="F30" s="6" t="s">
        <v>533</v>
      </c>
      <c r="G30" s="20" t="s">
        <v>496</v>
      </c>
      <c r="H30" s="5" t="s">
        <v>546</v>
      </c>
    </row>
    <row r="31" customFormat="false" ht="16.5" hidden="false" customHeight="true" outlineLevel="0" collapsed="false">
      <c r="A31" s="5" t="s">
        <v>346</v>
      </c>
      <c r="B31" s="5" t="s">
        <v>354</v>
      </c>
      <c r="C31" s="5" t="s">
        <v>403</v>
      </c>
      <c r="D31" s="5" t="s">
        <v>547</v>
      </c>
      <c r="E31" s="6" t="s">
        <v>166</v>
      </c>
      <c r="F31" s="6" t="s">
        <v>525</v>
      </c>
      <c r="G31" s="20" t="s">
        <v>486</v>
      </c>
      <c r="H31" s="7" t="s">
        <v>518</v>
      </c>
    </row>
    <row r="32" customFormat="false" ht="16.5" hidden="false" customHeight="true" outlineLevel="0" collapsed="false">
      <c r="A32" s="5" t="s">
        <v>346</v>
      </c>
      <c r="B32" s="5" t="s">
        <v>354</v>
      </c>
      <c r="C32" s="5" t="s">
        <v>403</v>
      </c>
      <c r="D32" s="5" t="s">
        <v>548</v>
      </c>
      <c r="E32" s="6" t="s">
        <v>166</v>
      </c>
      <c r="F32" s="6" t="s">
        <v>485</v>
      </c>
      <c r="G32" s="20" t="s">
        <v>486</v>
      </c>
      <c r="H32" s="5" t="s">
        <v>549</v>
      </c>
    </row>
    <row r="33" customFormat="false" ht="16.5" hidden="false" customHeight="true" outlineLevel="0" collapsed="false">
      <c r="A33" s="5" t="s">
        <v>346</v>
      </c>
      <c r="B33" s="5" t="s">
        <v>354</v>
      </c>
      <c r="C33" s="5" t="s">
        <v>403</v>
      </c>
      <c r="D33" s="5" t="s">
        <v>550</v>
      </c>
      <c r="E33" s="6" t="s">
        <v>166</v>
      </c>
      <c r="F33" s="6" t="s">
        <v>533</v>
      </c>
      <c r="G33" s="20" t="s">
        <v>496</v>
      </c>
      <c r="H33" s="5" t="s">
        <v>551</v>
      </c>
    </row>
    <row r="34" customFormat="false" ht="16.5" hidden="false" customHeight="true" outlineLevel="0" collapsed="false">
      <c r="A34" s="40" t="s">
        <v>346</v>
      </c>
      <c r="B34" s="40" t="s">
        <v>354</v>
      </c>
      <c r="C34" s="40" t="s">
        <v>403</v>
      </c>
      <c r="D34" s="40" t="s">
        <v>552</v>
      </c>
      <c r="E34" s="41" t="s">
        <v>499</v>
      </c>
      <c r="F34" s="41" t="s">
        <v>533</v>
      </c>
      <c r="G34" s="24" t="s">
        <v>511</v>
      </c>
      <c r="H34" s="40" t="s">
        <v>553</v>
      </c>
    </row>
    <row r="35" customFormat="false" ht="16.5" hidden="false" customHeight="true" outlineLevel="0" collapsed="false">
      <c r="A35" s="5" t="s">
        <v>346</v>
      </c>
      <c r="B35" s="5" t="s">
        <v>357</v>
      </c>
      <c r="C35" s="5" t="s">
        <v>405</v>
      </c>
      <c r="D35" s="5" t="s">
        <v>554</v>
      </c>
      <c r="E35" s="6" t="s">
        <v>166</v>
      </c>
      <c r="F35" s="6" t="s">
        <v>485</v>
      </c>
      <c r="G35" s="20" t="s">
        <v>555</v>
      </c>
      <c r="H35" s="5" t="s">
        <v>487</v>
      </c>
    </row>
    <row r="36" customFormat="false" ht="16.5" hidden="false" customHeight="true" outlineLevel="0" collapsed="false">
      <c r="A36" s="5" t="s">
        <v>346</v>
      </c>
      <c r="B36" s="5" t="s">
        <v>357</v>
      </c>
      <c r="C36" s="5" t="s">
        <v>405</v>
      </c>
      <c r="D36" s="5" t="s">
        <v>556</v>
      </c>
      <c r="E36" s="6" t="s">
        <v>166</v>
      </c>
      <c r="F36" s="6" t="s">
        <v>557</v>
      </c>
      <c r="G36" s="20" t="s">
        <v>520</v>
      </c>
      <c r="H36" s="5" t="s">
        <v>497</v>
      </c>
    </row>
    <row r="37" customFormat="false" ht="16.5" hidden="false" customHeight="true" outlineLevel="0" collapsed="false">
      <c r="A37" s="5" t="s">
        <v>346</v>
      </c>
      <c r="B37" s="5" t="s">
        <v>357</v>
      </c>
      <c r="C37" s="5" t="s">
        <v>405</v>
      </c>
      <c r="D37" s="5" t="s">
        <v>558</v>
      </c>
      <c r="E37" s="6" t="s">
        <v>166</v>
      </c>
      <c r="F37" s="6" t="s">
        <v>489</v>
      </c>
      <c r="G37" s="6" t="s">
        <v>490</v>
      </c>
      <c r="H37" s="5" t="s">
        <v>521</v>
      </c>
    </row>
    <row r="38" customFormat="false" ht="16.5" hidden="false" customHeight="true" outlineLevel="0" collapsed="false">
      <c r="A38" s="5" t="s">
        <v>346</v>
      </c>
      <c r="B38" s="5" t="s">
        <v>357</v>
      </c>
      <c r="C38" s="5" t="s">
        <v>405</v>
      </c>
      <c r="D38" s="5" t="s">
        <v>559</v>
      </c>
      <c r="E38" s="6" t="s">
        <v>166</v>
      </c>
      <c r="F38" s="6" t="s">
        <v>489</v>
      </c>
      <c r="G38" s="20" t="s">
        <v>520</v>
      </c>
      <c r="H38" s="5" t="s">
        <v>560</v>
      </c>
    </row>
    <row r="39" customFormat="false" ht="16.5" hidden="false" customHeight="true" outlineLevel="0" collapsed="false">
      <c r="A39" s="40" t="s">
        <v>346</v>
      </c>
      <c r="B39" s="40" t="s">
        <v>357</v>
      </c>
      <c r="C39" s="40" t="s">
        <v>405</v>
      </c>
      <c r="D39" s="40" t="s">
        <v>561</v>
      </c>
      <c r="E39" s="41" t="s">
        <v>499</v>
      </c>
      <c r="F39" s="41" t="s">
        <v>485</v>
      </c>
      <c r="G39" s="24" t="s">
        <v>520</v>
      </c>
      <c r="H39" s="40" t="s">
        <v>562</v>
      </c>
    </row>
    <row r="40" customFormat="false" ht="16.5" hidden="false" customHeight="true" outlineLevel="0" collapsed="false">
      <c r="A40" s="5" t="s">
        <v>346</v>
      </c>
      <c r="B40" s="5" t="s">
        <v>357</v>
      </c>
      <c r="C40" s="5" t="s">
        <v>407</v>
      </c>
      <c r="D40" s="5" t="s">
        <v>563</v>
      </c>
      <c r="E40" s="6" t="s">
        <v>166</v>
      </c>
      <c r="F40" s="6" t="s">
        <v>485</v>
      </c>
      <c r="G40" s="20" t="s">
        <v>486</v>
      </c>
      <c r="H40" s="5" t="s">
        <v>564</v>
      </c>
    </row>
    <row r="41" customFormat="false" ht="16.5" hidden="false" customHeight="true" outlineLevel="0" collapsed="false">
      <c r="A41" s="5" t="s">
        <v>346</v>
      </c>
      <c r="B41" s="5" t="s">
        <v>357</v>
      </c>
      <c r="C41" s="5" t="s">
        <v>407</v>
      </c>
      <c r="D41" s="5" t="s">
        <v>565</v>
      </c>
      <c r="E41" s="6" t="s">
        <v>166</v>
      </c>
      <c r="F41" s="6" t="s">
        <v>557</v>
      </c>
      <c r="G41" s="20" t="s">
        <v>496</v>
      </c>
      <c r="H41" s="5" t="s">
        <v>566</v>
      </c>
    </row>
    <row r="42" customFormat="false" ht="16.5" hidden="false" customHeight="true" outlineLevel="0" collapsed="false">
      <c r="A42" s="5" t="s">
        <v>346</v>
      </c>
      <c r="B42" s="5" t="s">
        <v>357</v>
      </c>
      <c r="C42" s="5" t="s">
        <v>407</v>
      </c>
      <c r="D42" s="5" t="s">
        <v>567</v>
      </c>
      <c r="E42" s="6" t="s">
        <v>166</v>
      </c>
      <c r="F42" s="6" t="s">
        <v>489</v>
      </c>
      <c r="G42" s="20" t="s">
        <v>486</v>
      </c>
      <c r="H42" s="5" t="s">
        <v>568</v>
      </c>
    </row>
    <row r="43" customFormat="false" ht="32.25" hidden="false" customHeight="true" outlineLevel="0" collapsed="false">
      <c r="A43" s="5" t="s">
        <v>346</v>
      </c>
      <c r="B43" s="5" t="s">
        <v>357</v>
      </c>
      <c r="C43" s="5" t="s">
        <v>407</v>
      </c>
      <c r="D43" s="5" t="s">
        <v>569</v>
      </c>
      <c r="E43" s="6" t="s">
        <v>166</v>
      </c>
      <c r="F43" s="6" t="s">
        <v>485</v>
      </c>
      <c r="G43" s="20" t="s">
        <v>496</v>
      </c>
      <c r="H43" s="5" t="s">
        <v>570</v>
      </c>
    </row>
    <row r="44" customFormat="false" ht="16.5" hidden="false" customHeight="true" outlineLevel="0" collapsed="false">
      <c r="A44" s="40" t="s">
        <v>346</v>
      </c>
      <c r="B44" s="40" t="s">
        <v>357</v>
      </c>
      <c r="C44" s="40" t="s">
        <v>407</v>
      </c>
      <c r="D44" s="40" t="s">
        <v>571</v>
      </c>
      <c r="E44" s="41" t="s">
        <v>499</v>
      </c>
      <c r="F44" s="41" t="s">
        <v>557</v>
      </c>
      <c r="G44" s="24" t="s">
        <v>511</v>
      </c>
      <c r="H44" s="40" t="s">
        <v>564</v>
      </c>
    </row>
    <row r="45" customFormat="false" ht="16.5" hidden="false" customHeight="true" outlineLevel="0" collapsed="false">
      <c r="A45" s="5" t="s">
        <v>346</v>
      </c>
      <c r="B45" s="5" t="s">
        <v>357</v>
      </c>
      <c r="C45" s="5" t="s">
        <v>409</v>
      </c>
      <c r="D45" s="5" t="s">
        <v>572</v>
      </c>
      <c r="E45" s="6" t="s">
        <v>166</v>
      </c>
      <c r="F45" s="6" t="s">
        <v>485</v>
      </c>
      <c r="G45" s="20" t="s">
        <v>486</v>
      </c>
      <c r="H45" s="5" t="s">
        <v>573</v>
      </c>
    </row>
    <row r="46" customFormat="false" ht="16.5" hidden="false" customHeight="true" outlineLevel="0" collapsed="false">
      <c r="A46" s="5" t="s">
        <v>346</v>
      </c>
      <c r="B46" s="5" t="s">
        <v>357</v>
      </c>
      <c r="C46" s="5" t="s">
        <v>409</v>
      </c>
      <c r="D46" s="5" t="s">
        <v>574</v>
      </c>
      <c r="E46" s="6" t="s">
        <v>166</v>
      </c>
      <c r="F46" s="6" t="s">
        <v>485</v>
      </c>
      <c r="G46" s="20" t="s">
        <v>486</v>
      </c>
      <c r="H46" s="5" t="s">
        <v>575</v>
      </c>
    </row>
    <row r="47" customFormat="false" ht="16.5" hidden="false" customHeight="true" outlineLevel="0" collapsed="false">
      <c r="A47" s="5" t="s">
        <v>346</v>
      </c>
      <c r="B47" s="5" t="s">
        <v>357</v>
      </c>
      <c r="C47" s="5" t="s">
        <v>409</v>
      </c>
      <c r="D47" s="5" t="s">
        <v>576</v>
      </c>
      <c r="E47" s="6" t="s">
        <v>166</v>
      </c>
      <c r="F47" s="6" t="s">
        <v>485</v>
      </c>
      <c r="G47" s="20" t="s">
        <v>496</v>
      </c>
      <c r="H47" s="5" t="s">
        <v>577</v>
      </c>
    </row>
    <row r="48" customFormat="false" ht="16.5" hidden="false" customHeight="true" outlineLevel="0" collapsed="false">
      <c r="A48" s="5" t="s">
        <v>346</v>
      </c>
      <c r="B48" s="5" t="s">
        <v>357</v>
      </c>
      <c r="C48" s="5" t="s">
        <v>409</v>
      </c>
      <c r="D48" s="5" t="s">
        <v>578</v>
      </c>
      <c r="E48" s="6" t="s">
        <v>166</v>
      </c>
      <c r="F48" s="6" t="s">
        <v>485</v>
      </c>
      <c r="G48" s="20" t="s">
        <v>486</v>
      </c>
      <c r="H48" s="5" t="s">
        <v>509</v>
      </c>
    </row>
    <row r="49" customFormat="false" ht="16.5" hidden="false" customHeight="true" outlineLevel="0" collapsed="false">
      <c r="A49" s="40" t="s">
        <v>346</v>
      </c>
      <c r="B49" s="40" t="s">
        <v>357</v>
      </c>
      <c r="C49" s="40" t="s">
        <v>409</v>
      </c>
      <c r="D49" s="40" t="s">
        <v>579</v>
      </c>
      <c r="E49" s="41" t="s">
        <v>499</v>
      </c>
      <c r="F49" s="41" t="s">
        <v>485</v>
      </c>
      <c r="G49" s="24" t="s">
        <v>496</v>
      </c>
      <c r="H49" s="40" t="s">
        <v>580</v>
      </c>
    </row>
    <row r="50" customFormat="false" ht="16.5" hidden="false" customHeight="true" outlineLevel="0" collapsed="false">
      <c r="A50" s="5" t="s">
        <v>346</v>
      </c>
      <c r="B50" s="5" t="s">
        <v>359</v>
      </c>
      <c r="C50" s="5" t="s">
        <v>411</v>
      </c>
      <c r="D50" s="5" t="s">
        <v>581</v>
      </c>
      <c r="E50" s="6" t="s">
        <v>166</v>
      </c>
      <c r="F50" s="6" t="s">
        <v>485</v>
      </c>
      <c r="G50" s="20" t="s">
        <v>486</v>
      </c>
      <c r="H50" s="5" t="s">
        <v>582</v>
      </c>
    </row>
    <row r="51" customFormat="false" ht="16.5" hidden="false" customHeight="true" outlineLevel="0" collapsed="false">
      <c r="A51" s="5" t="s">
        <v>346</v>
      </c>
      <c r="B51" s="5" t="s">
        <v>359</v>
      </c>
      <c r="C51" s="5" t="s">
        <v>411</v>
      </c>
      <c r="D51" s="5" t="s">
        <v>583</v>
      </c>
      <c r="E51" s="6" t="s">
        <v>166</v>
      </c>
      <c r="F51" s="6" t="s">
        <v>495</v>
      </c>
      <c r="G51" s="20" t="s">
        <v>496</v>
      </c>
      <c r="H51" s="5" t="s">
        <v>584</v>
      </c>
    </row>
    <row r="52" customFormat="false" ht="16.5" hidden="false" customHeight="true" outlineLevel="0" collapsed="false">
      <c r="A52" s="5" t="s">
        <v>346</v>
      </c>
      <c r="B52" s="5" t="s">
        <v>359</v>
      </c>
      <c r="C52" s="5" t="s">
        <v>411</v>
      </c>
      <c r="D52" s="5" t="s">
        <v>585</v>
      </c>
      <c r="E52" s="6" t="s">
        <v>166</v>
      </c>
      <c r="F52" s="6" t="s">
        <v>489</v>
      </c>
      <c r="G52" s="6" t="s">
        <v>490</v>
      </c>
      <c r="H52" s="5" t="s">
        <v>586</v>
      </c>
    </row>
    <row r="53" customFormat="false" ht="16.5" hidden="false" customHeight="true" outlineLevel="0" collapsed="false">
      <c r="A53" s="5" t="s">
        <v>346</v>
      </c>
      <c r="B53" s="5" t="s">
        <v>359</v>
      </c>
      <c r="C53" s="5" t="s">
        <v>411</v>
      </c>
      <c r="D53" s="5" t="s">
        <v>587</v>
      </c>
      <c r="E53" s="6" t="s">
        <v>166</v>
      </c>
      <c r="F53" s="6" t="s">
        <v>485</v>
      </c>
      <c r="G53" s="20" t="s">
        <v>496</v>
      </c>
      <c r="H53" s="5" t="s">
        <v>493</v>
      </c>
    </row>
    <row r="54" customFormat="false" ht="16.5" hidden="false" customHeight="true" outlineLevel="0" collapsed="false">
      <c r="A54" s="40" t="s">
        <v>346</v>
      </c>
      <c r="B54" s="40" t="s">
        <v>359</v>
      </c>
      <c r="C54" s="40" t="s">
        <v>411</v>
      </c>
      <c r="D54" s="40" t="s">
        <v>588</v>
      </c>
      <c r="E54" s="41" t="s">
        <v>499</v>
      </c>
      <c r="F54" s="41" t="s">
        <v>485</v>
      </c>
      <c r="G54" s="24" t="s">
        <v>511</v>
      </c>
      <c r="H54" s="40" t="s">
        <v>500</v>
      </c>
    </row>
    <row r="55" customFormat="false" ht="16.5" hidden="false" customHeight="true" outlineLevel="0" collapsed="false">
      <c r="A55" s="5" t="s">
        <v>346</v>
      </c>
      <c r="B55" s="5" t="s">
        <v>359</v>
      </c>
      <c r="C55" s="5" t="s">
        <v>413</v>
      </c>
      <c r="D55" s="5" t="s">
        <v>589</v>
      </c>
      <c r="E55" s="6" t="s">
        <v>166</v>
      </c>
      <c r="F55" s="6" t="s">
        <v>489</v>
      </c>
      <c r="G55" s="20" t="s">
        <v>486</v>
      </c>
      <c r="H55" s="5" t="s">
        <v>590</v>
      </c>
    </row>
    <row r="56" customFormat="false" ht="16.5" hidden="false" customHeight="true" outlineLevel="0" collapsed="false">
      <c r="A56" s="5" t="s">
        <v>346</v>
      </c>
      <c r="B56" s="5" t="s">
        <v>359</v>
      </c>
      <c r="C56" s="5" t="s">
        <v>413</v>
      </c>
      <c r="D56" s="5" t="s">
        <v>591</v>
      </c>
      <c r="E56" s="6" t="s">
        <v>166</v>
      </c>
      <c r="F56" s="6" t="s">
        <v>489</v>
      </c>
      <c r="G56" s="20" t="s">
        <v>486</v>
      </c>
      <c r="H56" s="5" t="s">
        <v>592</v>
      </c>
    </row>
    <row r="57" customFormat="false" ht="16.5" hidden="false" customHeight="true" outlineLevel="0" collapsed="false">
      <c r="A57" s="5" t="s">
        <v>346</v>
      </c>
      <c r="B57" s="5" t="s">
        <v>359</v>
      </c>
      <c r="C57" s="5" t="s">
        <v>413</v>
      </c>
      <c r="D57" s="5" t="s">
        <v>593</v>
      </c>
      <c r="E57" s="6" t="s">
        <v>166</v>
      </c>
      <c r="F57" s="6" t="s">
        <v>485</v>
      </c>
      <c r="G57" s="20" t="s">
        <v>486</v>
      </c>
      <c r="H57" s="5" t="s">
        <v>594</v>
      </c>
    </row>
    <row r="58" customFormat="false" ht="16.5" hidden="false" customHeight="true" outlineLevel="0" collapsed="false">
      <c r="A58" s="5" t="s">
        <v>346</v>
      </c>
      <c r="B58" s="5" t="s">
        <v>359</v>
      </c>
      <c r="C58" s="5" t="s">
        <v>413</v>
      </c>
      <c r="D58" s="5" t="s">
        <v>595</v>
      </c>
      <c r="E58" s="6" t="s">
        <v>166</v>
      </c>
      <c r="F58" s="6" t="s">
        <v>489</v>
      </c>
      <c r="G58" s="20" t="s">
        <v>496</v>
      </c>
      <c r="H58" s="5" t="s">
        <v>542</v>
      </c>
    </row>
    <row r="59" customFormat="false" ht="16.5" hidden="false" customHeight="true" outlineLevel="0" collapsed="false">
      <c r="A59" s="40" t="s">
        <v>346</v>
      </c>
      <c r="B59" s="40" t="s">
        <v>359</v>
      </c>
      <c r="C59" s="40" t="s">
        <v>413</v>
      </c>
      <c r="D59" s="40" t="s">
        <v>596</v>
      </c>
      <c r="E59" s="41" t="s">
        <v>499</v>
      </c>
      <c r="F59" s="41" t="s">
        <v>489</v>
      </c>
      <c r="G59" s="24" t="s">
        <v>511</v>
      </c>
      <c r="H59" s="40" t="s">
        <v>597</v>
      </c>
    </row>
    <row r="60" customFormat="false" ht="16.5" hidden="false" customHeight="true" outlineLevel="0" collapsed="false">
      <c r="A60" s="5" t="s">
        <v>346</v>
      </c>
      <c r="B60" s="5" t="s">
        <v>359</v>
      </c>
      <c r="C60" s="5" t="s">
        <v>415</v>
      </c>
      <c r="D60" s="5" t="s">
        <v>598</v>
      </c>
      <c r="E60" s="6" t="s">
        <v>166</v>
      </c>
      <c r="F60" s="6" t="s">
        <v>485</v>
      </c>
      <c r="G60" s="20" t="s">
        <v>486</v>
      </c>
      <c r="H60" s="5" t="s">
        <v>502</v>
      </c>
    </row>
    <row r="61" customFormat="false" ht="16.5" hidden="false" customHeight="true" outlineLevel="0" collapsed="false">
      <c r="A61" s="5" t="s">
        <v>346</v>
      </c>
      <c r="B61" s="5" t="s">
        <v>359</v>
      </c>
      <c r="C61" s="5" t="s">
        <v>415</v>
      </c>
      <c r="D61" s="5" t="s">
        <v>599</v>
      </c>
      <c r="E61" s="6" t="s">
        <v>166</v>
      </c>
      <c r="F61" s="6" t="s">
        <v>485</v>
      </c>
      <c r="G61" s="20" t="s">
        <v>486</v>
      </c>
      <c r="H61" s="5" t="s">
        <v>600</v>
      </c>
    </row>
    <row r="62" customFormat="false" ht="16.5" hidden="false" customHeight="true" outlineLevel="0" collapsed="false">
      <c r="A62" s="5" t="s">
        <v>346</v>
      </c>
      <c r="B62" s="5" t="s">
        <v>359</v>
      </c>
      <c r="C62" s="5" t="s">
        <v>415</v>
      </c>
      <c r="D62" s="5" t="s">
        <v>601</v>
      </c>
      <c r="E62" s="6" t="s">
        <v>166</v>
      </c>
      <c r="F62" s="6" t="s">
        <v>489</v>
      </c>
      <c r="G62" s="20" t="s">
        <v>486</v>
      </c>
      <c r="H62" s="5" t="s">
        <v>602</v>
      </c>
    </row>
    <row r="63" customFormat="false" ht="16.5" hidden="false" customHeight="true" outlineLevel="0" collapsed="false">
      <c r="A63" s="5" t="s">
        <v>346</v>
      </c>
      <c r="B63" s="5" t="s">
        <v>359</v>
      </c>
      <c r="C63" s="5" t="s">
        <v>415</v>
      </c>
      <c r="D63" s="5" t="s">
        <v>603</v>
      </c>
      <c r="E63" s="6" t="s">
        <v>166</v>
      </c>
      <c r="F63" s="6" t="s">
        <v>557</v>
      </c>
      <c r="G63" s="20" t="s">
        <v>496</v>
      </c>
      <c r="H63" s="5" t="s">
        <v>604</v>
      </c>
    </row>
    <row r="64" customFormat="false" ht="16.5" hidden="false" customHeight="true" outlineLevel="0" collapsed="false">
      <c r="A64" s="40" t="s">
        <v>346</v>
      </c>
      <c r="B64" s="40" t="s">
        <v>359</v>
      </c>
      <c r="C64" s="40" t="s">
        <v>415</v>
      </c>
      <c r="D64" s="40" t="s">
        <v>605</v>
      </c>
      <c r="E64" s="41" t="s">
        <v>499</v>
      </c>
      <c r="F64" s="41" t="s">
        <v>557</v>
      </c>
      <c r="G64" s="24" t="s">
        <v>511</v>
      </c>
      <c r="H64" s="40" t="s">
        <v>606</v>
      </c>
    </row>
    <row r="65" customFormat="false" ht="16.5" hidden="false" customHeight="true" outlineLevel="0" collapsed="false">
      <c r="A65" s="5" t="s">
        <v>361</v>
      </c>
      <c r="B65" s="5" t="s">
        <v>362</v>
      </c>
      <c r="C65" s="5" t="s">
        <v>417</v>
      </c>
      <c r="D65" s="5" t="s">
        <v>607</v>
      </c>
      <c r="E65" s="6" t="s">
        <v>166</v>
      </c>
      <c r="F65" s="6" t="s">
        <v>525</v>
      </c>
      <c r="G65" s="20" t="s">
        <v>486</v>
      </c>
      <c r="H65" s="7" t="s">
        <v>608</v>
      </c>
    </row>
    <row r="66" customFormat="false" ht="16.5" hidden="false" customHeight="true" outlineLevel="0" collapsed="false">
      <c r="A66" s="5" t="s">
        <v>361</v>
      </c>
      <c r="B66" s="5" t="s">
        <v>362</v>
      </c>
      <c r="C66" s="5" t="s">
        <v>417</v>
      </c>
      <c r="D66" s="5" t="s">
        <v>609</v>
      </c>
      <c r="E66" s="6" t="s">
        <v>166</v>
      </c>
      <c r="F66" s="6" t="s">
        <v>533</v>
      </c>
      <c r="G66" s="20" t="s">
        <v>496</v>
      </c>
      <c r="H66" s="7" t="s">
        <v>518</v>
      </c>
    </row>
    <row r="67" customFormat="false" ht="16.5" hidden="false" customHeight="true" outlineLevel="0" collapsed="false">
      <c r="A67" s="5" t="s">
        <v>361</v>
      </c>
      <c r="B67" s="5" t="s">
        <v>362</v>
      </c>
      <c r="C67" s="5" t="s">
        <v>417</v>
      </c>
      <c r="D67" s="5" t="s">
        <v>610</v>
      </c>
      <c r="E67" s="6" t="s">
        <v>166</v>
      </c>
      <c r="F67" s="6" t="s">
        <v>525</v>
      </c>
      <c r="G67" s="20" t="s">
        <v>496</v>
      </c>
      <c r="H67" s="7" t="s">
        <v>611</v>
      </c>
    </row>
    <row r="68" customFormat="false" ht="16.5" hidden="false" customHeight="true" outlineLevel="0" collapsed="false">
      <c r="A68" s="5" t="s">
        <v>361</v>
      </c>
      <c r="B68" s="5" t="s">
        <v>362</v>
      </c>
      <c r="C68" s="5" t="s">
        <v>417</v>
      </c>
      <c r="D68" s="5" t="s">
        <v>612</v>
      </c>
      <c r="E68" s="6" t="s">
        <v>166</v>
      </c>
      <c r="F68" s="6" t="s">
        <v>525</v>
      </c>
      <c r="G68" s="20" t="s">
        <v>511</v>
      </c>
      <c r="H68" s="5" t="s">
        <v>612</v>
      </c>
    </row>
    <row r="69" customFormat="false" ht="16.5" hidden="false" customHeight="true" outlineLevel="0" collapsed="false">
      <c r="A69" s="40" t="s">
        <v>361</v>
      </c>
      <c r="B69" s="40" t="s">
        <v>362</v>
      </c>
      <c r="C69" s="40" t="s">
        <v>417</v>
      </c>
      <c r="D69" s="40" t="s">
        <v>613</v>
      </c>
      <c r="E69" s="41" t="s">
        <v>499</v>
      </c>
      <c r="F69" s="41" t="s">
        <v>533</v>
      </c>
      <c r="G69" s="24" t="s">
        <v>511</v>
      </c>
      <c r="H69" s="40" t="s">
        <v>614</v>
      </c>
    </row>
    <row r="70" customFormat="false" ht="16.5" hidden="false" customHeight="true" outlineLevel="0" collapsed="false">
      <c r="A70" s="5" t="s">
        <v>361</v>
      </c>
      <c r="B70" s="5" t="s">
        <v>362</v>
      </c>
      <c r="C70" s="5" t="s">
        <v>419</v>
      </c>
      <c r="D70" s="5" t="s">
        <v>615</v>
      </c>
      <c r="E70" s="6" t="s">
        <v>166</v>
      </c>
      <c r="F70" s="6" t="s">
        <v>525</v>
      </c>
      <c r="G70" s="20" t="s">
        <v>486</v>
      </c>
      <c r="H70" s="5" t="s">
        <v>546</v>
      </c>
    </row>
    <row r="71" customFormat="false" ht="16.5" hidden="false" customHeight="true" outlineLevel="0" collapsed="false">
      <c r="A71" s="5" t="s">
        <v>361</v>
      </c>
      <c r="B71" s="5" t="s">
        <v>362</v>
      </c>
      <c r="C71" s="5" t="s">
        <v>419</v>
      </c>
      <c r="D71" s="5" t="s">
        <v>616</v>
      </c>
      <c r="E71" s="6" t="s">
        <v>166</v>
      </c>
      <c r="F71" s="6" t="s">
        <v>533</v>
      </c>
      <c r="G71" s="20" t="s">
        <v>496</v>
      </c>
      <c r="H71" s="5" t="s">
        <v>551</v>
      </c>
    </row>
    <row r="72" customFormat="false" ht="16.5" hidden="false" customHeight="true" outlineLevel="0" collapsed="false">
      <c r="A72" s="5" t="s">
        <v>361</v>
      </c>
      <c r="B72" s="5" t="s">
        <v>362</v>
      </c>
      <c r="C72" s="5" t="s">
        <v>419</v>
      </c>
      <c r="D72" s="5" t="s">
        <v>617</v>
      </c>
      <c r="E72" s="6" t="s">
        <v>166</v>
      </c>
      <c r="F72" s="6" t="s">
        <v>533</v>
      </c>
      <c r="G72" s="20" t="s">
        <v>496</v>
      </c>
      <c r="H72" s="5" t="s">
        <v>618</v>
      </c>
    </row>
    <row r="73" customFormat="false" ht="16.5" hidden="false" customHeight="true" outlineLevel="0" collapsed="false">
      <c r="A73" s="5" t="s">
        <v>361</v>
      </c>
      <c r="B73" s="5" t="s">
        <v>362</v>
      </c>
      <c r="C73" s="5" t="s">
        <v>419</v>
      </c>
      <c r="D73" s="5" t="s">
        <v>619</v>
      </c>
      <c r="E73" s="6" t="s">
        <v>166</v>
      </c>
      <c r="F73" s="6" t="s">
        <v>533</v>
      </c>
      <c r="G73" s="20" t="s">
        <v>496</v>
      </c>
      <c r="H73" s="5" t="s">
        <v>620</v>
      </c>
    </row>
    <row r="74" customFormat="false" ht="16.5" hidden="false" customHeight="true" outlineLevel="0" collapsed="false">
      <c r="A74" s="40" t="s">
        <v>361</v>
      </c>
      <c r="B74" s="40" t="s">
        <v>362</v>
      </c>
      <c r="C74" s="40" t="s">
        <v>419</v>
      </c>
      <c r="D74" s="40" t="s">
        <v>621</v>
      </c>
      <c r="E74" s="41" t="s">
        <v>499</v>
      </c>
      <c r="F74" s="41" t="s">
        <v>533</v>
      </c>
      <c r="G74" s="24" t="s">
        <v>511</v>
      </c>
      <c r="H74" s="40" t="s">
        <v>622</v>
      </c>
    </row>
    <row r="75" customFormat="false" ht="16.5" hidden="false" customHeight="true" outlineLevel="0" collapsed="false">
      <c r="A75" s="5" t="s">
        <v>361</v>
      </c>
      <c r="B75" s="5" t="s">
        <v>362</v>
      </c>
      <c r="C75" s="5" t="s">
        <v>421</v>
      </c>
      <c r="D75" s="5" t="s">
        <v>623</v>
      </c>
      <c r="E75" s="6" t="s">
        <v>166</v>
      </c>
      <c r="F75" s="6" t="s">
        <v>525</v>
      </c>
      <c r="G75" s="20" t="s">
        <v>486</v>
      </c>
      <c r="H75" s="5" t="s">
        <v>624</v>
      </c>
    </row>
    <row r="76" customFormat="false" ht="16.5" hidden="false" customHeight="true" outlineLevel="0" collapsed="false">
      <c r="A76" s="5" t="s">
        <v>361</v>
      </c>
      <c r="B76" s="5" t="s">
        <v>362</v>
      </c>
      <c r="C76" s="5" t="s">
        <v>421</v>
      </c>
      <c r="D76" s="5" t="s">
        <v>625</v>
      </c>
      <c r="E76" s="6" t="s">
        <v>166</v>
      </c>
      <c r="F76" s="6" t="s">
        <v>533</v>
      </c>
      <c r="G76" s="20" t="s">
        <v>496</v>
      </c>
      <c r="H76" s="5" t="s">
        <v>624</v>
      </c>
    </row>
    <row r="77" customFormat="false" ht="16.5" hidden="false" customHeight="true" outlineLevel="0" collapsed="false">
      <c r="A77" s="5" t="s">
        <v>361</v>
      </c>
      <c r="B77" s="5" t="s">
        <v>362</v>
      </c>
      <c r="C77" s="5" t="s">
        <v>421</v>
      </c>
      <c r="D77" s="5" t="s">
        <v>626</v>
      </c>
      <c r="E77" s="6" t="s">
        <v>166</v>
      </c>
      <c r="F77" s="6" t="s">
        <v>525</v>
      </c>
      <c r="G77" s="20" t="s">
        <v>486</v>
      </c>
      <c r="H77" s="5" t="s">
        <v>627</v>
      </c>
    </row>
    <row r="78" customFormat="false" ht="16.5" hidden="false" customHeight="true" outlineLevel="0" collapsed="false">
      <c r="A78" s="5" t="s">
        <v>361</v>
      </c>
      <c r="B78" s="5" t="s">
        <v>362</v>
      </c>
      <c r="C78" s="5" t="s">
        <v>421</v>
      </c>
      <c r="D78" s="5" t="s">
        <v>628</v>
      </c>
      <c r="E78" s="6" t="s">
        <v>166</v>
      </c>
      <c r="F78" s="6" t="s">
        <v>485</v>
      </c>
      <c r="G78" s="20" t="s">
        <v>496</v>
      </c>
      <c r="H78" s="5" t="s">
        <v>629</v>
      </c>
    </row>
    <row r="79" customFormat="false" ht="16.5" hidden="false" customHeight="true" outlineLevel="0" collapsed="false">
      <c r="A79" s="40" t="s">
        <v>361</v>
      </c>
      <c r="B79" s="40" t="s">
        <v>362</v>
      </c>
      <c r="C79" s="40" t="s">
        <v>421</v>
      </c>
      <c r="D79" s="40" t="s">
        <v>630</v>
      </c>
      <c r="E79" s="41" t="s">
        <v>499</v>
      </c>
      <c r="F79" s="41" t="s">
        <v>533</v>
      </c>
      <c r="G79" s="24" t="s">
        <v>511</v>
      </c>
      <c r="H79" s="40" t="s">
        <v>631</v>
      </c>
    </row>
    <row r="80" customFormat="false" ht="16.5" hidden="false" customHeight="true" outlineLevel="0" collapsed="false">
      <c r="A80" s="5" t="s">
        <v>361</v>
      </c>
      <c r="B80" s="5" t="s">
        <v>365</v>
      </c>
      <c r="C80" s="5" t="s">
        <v>423</v>
      </c>
      <c r="D80" s="5" t="s">
        <v>632</v>
      </c>
      <c r="E80" s="6" t="s">
        <v>166</v>
      </c>
      <c r="F80" s="6" t="s">
        <v>485</v>
      </c>
      <c r="G80" s="20" t="s">
        <v>486</v>
      </c>
      <c r="H80" s="5" t="s">
        <v>633</v>
      </c>
    </row>
    <row r="81" customFormat="false" ht="16.5" hidden="false" customHeight="true" outlineLevel="0" collapsed="false">
      <c r="A81" s="5" t="s">
        <v>361</v>
      </c>
      <c r="B81" s="5" t="s">
        <v>365</v>
      </c>
      <c r="C81" s="5" t="s">
        <v>423</v>
      </c>
      <c r="D81" s="5" t="s">
        <v>634</v>
      </c>
      <c r="E81" s="6" t="s">
        <v>166</v>
      </c>
      <c r="F81" s="6" t="s">
        <v>485</v>
      </c>
      <c r="G81" s="20" t="s">
        <v>496</v>
      </c>
      <c r="H81" s="5" t="s">
        <v>635</v>
      </c>
    </row>
    <row r="82" customFormat="false" ht="16.5" hidden="false" customHeight="true" outlineLevel="0" collapsed="false">
      <c r="A82" s="5" t="s">
        <v>361</v>
      </c>
      <c r="B82" s="5" t="s">
        <v>365</v>
      </c>
      <c r="C82" s="5" t="s">
        <v>423</v>
      </c>
      <c r="D82" s="5" t="s">
        <v>636</v>
      </c>
      <c r="E82" s="6" t="s">
        <v>166</v>
      </c>
      <c r="F82" s="6" t="s">
        <v>489</v>
      </c>
      <c r="G82" s="20" t="s">
        <v>486</v>
      </c>
      <c r="H82" s="5" t="s">
        <v>637</v>
      </c>
    </row>
    <row r="83" customFormat="false" ht="16.5" hidden="false" customHeight="true" outlineLevel="0" collapsed="false">
      <c r="A83" s="5" t="s">
        <v>361</v>
      </c>
      <c r="B83" s="5" t="s">
        <v>365</v>
      </c>
      <c r="C83" s="5" t="s">
        <v>423</v>
      </c>
      <c r="D83" s="5" t="s">
        <v>638</v>
      </c>
      <c r="E83" s="6" t="s">
        <v>166</v>
      </c>
      <c r="F83" s="6" t="s">
        <v>485</v>
      </c>
      <c r="G83" s="20" t="s">
        <v>496</v>
      </c>
      <c r="H83" s="5" t="s">
        <v>639</v>
      </c>
    </row>
    <row r="84" customFormat="false" ht="16.5" hidden="false" customHeight="true" outlineLevel="0" collapsed="false">
      <c r="A84" s="40" t="s">
        <v>361</v>
      </c>
      <c r="B84" s="40" t="s">
        <v>365</v>
      </c>
      <c r="C84" s="40" t="s">
        <v>423</v>
      </c>
      <c r="D84" s="40" t="s">
        <v>640</v>
      </c>
      <c r="E84" s="41" t="s">
        <v>499</v>
      </c>
      <c r="F84" s="41" t="s">
        <v>485</v>
      </c>
      <c r="G84" s="24" t="s">
        <v>511</v>
      </c>
      <c r="H84" s="40" t="s">
        <v>641</v>
      </c>
    </row>
    <row r="85" customFormat="false" ht="16.5" hidden="false" customHeight="true" outlineLevel="0" collapsed="false">
      <c r="A85" s="5" t="s">
        <v>361</v>
      </c>
      <c r="B85" s="5" t="s">
        <v>365</v>
      </c>
      <c r="C85" s="5" t="s">
        <v>425</v>
      </c>
      <c r="D85" s="5" t="s">
        <v>642</v>
      </c>
      <c r="E85" s="6" t="s">
        <v>166</v>
      </c>
      <c r="F85" s="6" t="s">
        <v>557</v>
      </c>
      <c r="G85" s="20" t="s">
        <v>496</v>
      </c>
      <c r="H85" s="5" t="s">
        <v>643</v>
      </c>
    </row>
    <row r="86" customFormat="false" ht="16.5" hidden="false" customHeight="true" outlineLevel="0" collapsed="false">
      <c r="A86" s="5" t="s">
        <v>361</v>
      </c>
      <c r="B86" s="5" t="s">
        <v>365</v>
      </c>
      <c r="C86" s="5" t="s">
        <v>425</v>
      </c>
      <c r="D86" s="5" t="s">
        <v>644</v>
      </c>
      <c r="E86" s="6" t="s">
        <v>166</v>
      </c>
      <c r="F86" s="6" t="s">
        <v>557</v>
      </c>
      <c r="G86" s="20" t="s">
        <v>496</v>
      </c>
      <c r="H86" s="5" t="s">
        <v>549</v>
      </c>
    </row>
    <row r="87" customFormat="false" ht="16.5" hidden="false" customHeight="true" outlineLevel="0" collapsed="false">
      <c r="A87" s="5" t="s">
        <v>361</v>
      </c>
      <c r="B87" s="5" t="s">
        <v>365</v>
      </c>
      <c r="C87" s="5" t="s">
        <v>425</v>
      </c>
      <c r="D87" s="5" t="s">
        <v>645</v>
      </c>
      <c r="E87" s="6" t="s">
        <v>166</v>
      </c>
      <c r="F87" s="6" t="s">
        <v>495</v>
      </c>
      <c r="G87" s="20" t="s">
        <v>486</v>
      </c>
      <c r="H87" s="5" t="s">
        <v>646</v>
      </c>
    </row>
    <row r="88" customFormat="false" ht="16.5" hidden="false" customHeight="true" outlineLevel="0" collapsed="false">
      <c r="A88" s="5" t="s">
        <v>361</v>
      </c>
      <c r="B88" s="5" t="s">
        <v>365</v>
      </c>
      <c r="C88" s="5" t="s">
        <v>425</v>
      </c>
      <c r="D88" s="5" t="s">
        <v>647</v>
      </c>
      <c r="E88" s="6" t="s">
        <v>166</v>
      </c>
      <c r="F88" s="6" t="s">
        <v>504</v>
      </c>
      <c r="G88" s="20" t="s">
        <v>496</v>
      </c>
      <c r="H88" s="5" t="s">
        <v>648</v>
      </c>
    </row>
    <row r="89" customFormat="false" ht="16.5" hidden="false" customHeight="true" outlineLevel="0" collapsed="false">
      <c r="A89" s="40" t="s">
        <v>361</v>
      </c>
      <c r="B89" s="40" t="s">
        <v>365</v>
      </c>
      <c r="C89" s="40" t="s">
        <v>425</v>
      </c>
      <c r="D89" s="40" t="s">
        <v>649</v>
      </c>
      <c r="E89" s="41" t="s">
        <v>499</v>
      </c>
      <c r="F89" s="41" t="s">
        <v>557</v>
      </c>
      <c r="G89" s="24" t="s">
        <v>650</v>
      </c>
      <c r="H89" s="40" t="s">
        <v>641</v>
      </c>
    </row>
    <row r="90" customFormat="false" ht="16.5" hidden="false" customHeight="true" outlineLevel="0" collapsed="false">
      <c r="A90" s="5" t="s">
        <v>361</v>
      </c>
      <c r="B90" s="5" t="s">
        <v>365</v>
      </c>
      <c r="C90" s="5" t="s">
        <v>427</v>
      </c>
      <c r="D90" s="5" t="s">
        <v>651</v>
      </c>
      <c r="E90" s="6" t="s">
        <v>166</v>
      </c>
      <c r="F90" s="6" t="s">
        <v>485</v>
      </c>
      <c r="G90" s="20" t="s">
        <v>486</v>
      </c>
      <c r="H90" s="5" t="s">
        <v>646</v>
      </c>
    </row>
    <row r="91" customFormat="false" ht="16.5" hidden="false" customHeight="true" outlineLevel="0" collapsed="false">
      <c r="A91" s="5" t="s">
        <v>361</v>
      </c>
      <c r="B91" s="5" t="s">
        <v>365</v>
      </c>
      <c r="C91" s="5" t="s">
        <v>427</v>
      </c>
      <c r="D91" s="5" t="s">
        <v>652</v>
      </c>
      <c r="E91" s="6" t="s">
        <v>166</v>
      </c>
      <c r="F91" s="6" t="s">
        <v>557</v>
      </c>
      <c r="G91" s="20" t="s">
        <v>496</v>
      </c>
      <c r="H91" s="5" t="s">
        <v>653</v>
      </c>
    </row>
    <row r="92" customFormat="false" ht="16.5" hidden="false" customHeight="true" outlineLevel="0" collapsed="false">
      <c r="A92" s="5" t="s">
        <v>361</v>
      </c>
      <c r="B92" s="5" t="s">
        <v>365</v>
      </c>
      <c r="C92" s="5" t="s">
        <v>427</v>
      </c>
      <c r="D92" s="5" t="s">
        <v>654</v>
      </c>
      <c r="E92" s="6" t="s">
        <v>166</v>
      </c>
      <c r="F92" s="6" t="s">
        <v>485</v>
      </c>
      <c r="G92" s="20" t="s">
        <v>496</v>
      </c>
      <c r="H92" s="5" t="s">
        <v>655</v>
      </c>
    </row>
    <row r="93" customFormat="false" ht="16.5" hidden="false" customHeight="true" outlineLevel="0" collapsed="false">
      <c r="A93" s="5" t="s">
        <v>361</v>
      </c>
      <c r="B93" s="5" t="s">
        <v>365</v>
      </c>
      <c r="C93" s="5" t="s">
        <v>427</v>
      </c>
      <c r="D93" s="5" t="s">
        <v>656</v>
      </c>
      <c r="E93" s="6" t="s">
        <v>166</v>
      </c>
      <c r="F93" s="6" t="s">
        <v>485</v>
      </c>
      <c r="G93" s="20" t="s">
        <v>486</v>
      </c>
      <c r="H93" s="5" t="s">
        <v>657</v>
      </c>
    </row>
    <row r="94" customFormat="false" ht="16.5" hidden="false" customHeight="true" outlineLevel="0" collapsed="false">
      <c r="A94" s="40" t="s">
        <v>361</v>
      </c>
      <c r="B94" s="40" t="s">
        <v>365</v>
      </c>
      <c r="C94" s="40" t="s">
        <v>427</v>
      </c>
      <c r="D94" s="40" t="s">
        <v>658</v>
      </c>
      <c r="E94" s="41" t="s">
        <v>499</v>
      </c>
      <c r="F94" s="41" t="s">
        <v>557</v>
      </c>
      <c r="G94" s="24" t="s">
        <v>511</v>
      </c>
      <c r="H94" s="40" t="s">
        <v>659</v>
      </c>
    </row>
    <row r="95" customFormat="false" ht="16.5" hidden="false" customHeight="true" outlineLevel="0" collapsed="false">
      <c r="A95" s="5" t="s">
        <v>361</v>
      </c>
      <c r="B95" s="5" t="s">
        <v>367</v>
      </c>
      <c r="C95" s="5" t="s">
        <v>429</v>
      </c>
      <c r="D95" s="5" t="s">
        <v>660</v>
      </c>
      <c r="E95" s="6" t="s">
        <v>166</v>
      </c>
      <c r="F95" s="6" t="s">
        <v>485</v>
      </c>
      <c r="G95" s="20" t="s">
        <v>486</v>
      </c>
      <c r="H95" s="5" t="s">
        <v>661</v>
      </c>
    </row>
    <row r="96" customFormat="false" ht="16.5" hidden="false" customHeight="true" outlineLevel="0" collapsed="false">
      <c r="A96" s="5" t="s">
        <v>361</v>
      </c>
      <c r="B96" s="5" t="s">
        <v>367</v>
      </c>
      <c r="C96" s="5" t="s">
        <v>429</v>
      </c>
      <c r="D96" s="5" t="s">
        <v>662</v>
      </c>
      <c r="E96" s="6" t="s">
        <v>166</v>
      </c>
      <c r="F96" s="6" t="s">
        <v>485</v>
      </c>
      <c r="G96" s="20" t="s">
        <v>486</v>
      </c>
      <c r="H96" s="5" t="s">
        <v>575</v>
      </c>
    </row>
    <row r="97" customFormat="false" ht="16.5" hidden="false" customHeight="true" outlineLevel="0" collapsed="false">
      <c r="A97" s="5" t="s">
        <v>361</v>
      </c>
      <c r="B97" s="5" t="s">
        <v>367</v>
      </c>
      <c r="C97" s="5" t="s">
        <v>429</v>
      </c>
      <c r="D97" s="5" t="s">
        <v>663</v>
      </c>
      <c r="E97" s="6" t="s">
        <v>166</v>
      </c>
      <c r="F97" s="6" t="s">
        <v>495</v>
      </c>
      <c r="G97" s="20" t="s">
        <v>496</v>
      </c>
      <c r="H97" s="5" t="s">
        <v>664</v>
      </c>
    </row>
    <row r="98" customFormat="false" ht="16.5" hidden="false" customHeight="true" outlineLevel="0" collapsed="false">
      <c r="A98" s="5" t="s">
        <v>361</v>
      </c>
      <c r="B98" s="5" t="s">
        <v>367</v>
      </c>
      <c r="C98" s="5" t="s">
        <v>429</v>
      </c>
      <c r="D98" s="5" t="s">
        <v>665</v>
      </c>
      <c r="E98" s="6" t="s">
        <v>166</v>
      </c>
      <c r="F98" s="6" t="s">
        <v>489</v>
      </c>
      <c r="G98" s="20" t="s">
        <v>486</v>
      </c>
      <c r="H98" s="5" t="s">
        <v>666</v>
      </c>
    </row>
    <row r="99" customFormat="false" ht="16.5" hidden="false" customHeight="true" outlineLevel="0" collapsed="false">
      <c r="A99" s="40" t="s">
        <v>361</v>
      </c>
      <c r="B99" s="40" t="s">
        <v>367</v>
      </c>
      <c r="C99" s="40" t="s">
        <v>429</v>
      </c>
      <c r="D99" s="40" t="s">
        <v>667</v>
      </c>
      <c r="E99" s="41" t="s">
        <v>499</v>
      </c>
      <c r="F99" s="41" t="s">
        <v>485</v>
      </c>
      <c r="G99" s="24" t="s">
        <v>511</v>
      </c>
      <c r="H99" s="40" t="s">
        <v>668</v>
      </c>
    </row>
    <row r="100" customFormat="false" ht="16.5" hidden="false" customHeight="true" outlineLevel="0" collapsed="false">
      <c r="A100" s="5" t="s">
        <v>361</v>
      </c>
      <c r="B100" s="5" t="s">
        <v>367</v>
      </c>
      <c r="C100" s="5" t="s">
        <v>431</v>
      </c>
      <c r="D100" s="5" t="s">
        <v>669</v>
      </c>
      <c r="E100" s="6" t="s">
        <v>166</v>
      </c>
      <c r="F100" s="6" t="s">
        <v>489</v>
      </c>
      <c r="G100" s="20" t="s">
        <v>496</v>
      </c>
      <c r="H100" s="5" t="s">
        <v>670</v>
      </c>
    </row>
    <row r="101" customFormat="false" ht="16.5" hidden="false" customHeight="true" outlineLevel="0" collapsed="false">
      <c r="A101" s="5" t="s">
        <v>361</v>
      </c>
      <c r="B101" s="5" t="s">
        <v>367</v>
      </c>
      <c r="C101" s="5" t="s">
        <v>431</v>
      </c>
      <c r="D101" s="5" t="s">
        <v>671</v>
      </c>
      <c r="E101" s="6" t="s">
        <v>166</v>
      </c>
      <c r="F101" s="6" t="s">
        <v>485</v>
      </c>
      <c r="G101" s="20" t="s">
        <v>486</v>
      </c>
      <c r="H101" s="5" t="s">
        <v>643</v>
      </c>
    </row>
    <row r="102" customFormat="false" ht="16.5" hidden="false" customHeight="true" outlineLevel="0" collapsed="false">
      <c r="A102" s="5" t="s">
        <v>361</v>
      </c>
      <c r="B102" s="5" t="s">
        <v>367</v>
      </c>
      <c r="C102" s="5" t="s">
        <v>431</v>
      </c>
      <c r="D102" s="5" t="s">
        <v>672</v>
      </c>
      <c r="E102" s="6" t="s">
        <v>166</v>
      </c>
      <c r="F102" s="6" t="s">
        <v>557</v>
      </c>
      <c r="G102" s="20" t="s">
        <v>496</v>
      </c>
      <c r="H102" s="5" t="s">
        <v>673</v>
      </c>
    </row>
    <row r="103" customFormat="false" ht="16.5" hidden="false" customHeight="true" outlineLevel="0" collapsed="false">
      <c r="A103" s="5" t="s">
        <v>361</v>
      </c>
      <c r="B103" s="5" t="s">
        <v>367</v>
      </c>
      <c r="C103" s="5" t="s">
        <v>431</v>
      </c>
      <c r="D103" s="5" t="s">
        <v>674</v>
      </c>
      <c r="E103" s="6" t="s">
        <v>166</v>
      </c>
      <c r="F103" s="6" t="s">
        <v>489</v>
      </c>
      <c r="G103" s="6" t="s">
        <v>490</v>
      </c>
      <c r="H103" s="7" t="s">
        <v>675</v>
      </c>
    </row>
    <row r="104" customFormat="false" ht="16.5" hidden="false" customHeight="true" outlineLevel="0" collapsed="false">
      <c r="A104" s="40" t="s">
        <v>361</v>
      </c>
      <c r="B104" s="40" t="s">
        <v>367</v>
      </c>
      <c r="C104" s="40" t="s">
        <v>431</v>
      </c>
      <c r="D104" s="40" t="s">
        <v>676</v>
      </c>
      <c r="E104" s="41" t="s">
        <v>499</v>
      </c>
      <c r="F104" s="41" t="s">
        <v>489</v>
      </c>
      <c r="G104" s="24" t="s">
        <v>511</v>
      </c>
      <c r="H104" s="40" t="s">
        <v>677</v>
      </c>
    </row>
    <row r="105" customFormat="false" ht="16.5" hidden="false" customHeight="true" outlineLevel="0" collapsed="false">
      <c r="A105" s="5" t="s">
        <v>361</v>
      </c>
      <c r="B105" s="5" t="s">
        <v>367</v>
      </c>
      <c r="C105" s="5" t="s">
        <v>433</v>
      </c>
      <c r="D105" s="5" t="s">
        <v>678</v>
      </c>
      <c r="E105" s="6" t="s">
        <v>166</v>
      </c>
      <c r="F105" s="6" t="s">
        <v>533</v>
      </c>
      <c r="G105" s="20" t="s">
        <v>486</v>
      </c>
      <c r="H105" s="7" t="s">
        <v>518</v>
      </c>
    </row>
    <row r="106" customFormat="false" ht="16.5" hidden="false" customHeight="true" outlineLevel="0" collapsed="false">
      <c r="A106" s="5" t="s">
        <v>361</v>
      </c>
      <c r="B106" s="5" t="s">
        <v>367</v>
      </c>
      <c r="C106" s="5" t="s">
        <v>433</v>
      </c>
      <c r="D106" s="5" t="s">
        <v>679</v>
      </c>
      <c r="E106" s="6" t="s">
        <v>166</v>
      </c>
      <c r="F106" s="6" t="s">
        <v>525</v>
      </c>
      <c r="G106" s="20" t="s">
        <v>486</v>
      </c>
      <c r="H106" s="5" t="s">
        <v>680</v>
      </c>
    </row>
    <row r="107" customFormat="false" ht="16.5" hidden="false" customHeight="true" outlineLevel="0" collapsed="false">
      <c r="A107" s="5" t="s">
        <v>361</v>
      </c>
      <c r="B107" s="5" t="s">
        <v>367</v>
      </c>
      <c r="C107" s="5" t="s">
        <v>433</v>
      </c>
      <c r="D107" s="5" t="s">
        <v>681</v>
      </c>
      <c r="E107" s="6" t="s">
        <v>166</v>
      </c>
      <c r="F107" s="6" t="s">
        <v>525</v>
      </c>
      <c r="G107" s="20" t="s">
        <v>486</v>
      </c>
      <c r="H107" s="7" t="s">
        <v>682</v>
      </c>
    </row>
    <row r="108" customFormat="false" ht="16.5" hidden="false" customHeight="true" outlineLevel="0" collapsed="false">
      <c r="A108" s="5" t="s">
        <v>361</v>
      </c>
      <c r="B108" s="5" t="s">
        <v>367</v>
      </c>
      <c r="C108" s="5" t="s">
        <v>433</v>
      </c>
      <c r="D108" s="5" t="s">
        <v>683</v>
      </c>
      <c r="E108" s="6" t="s">
        <v>166</v>
      </c>
      <c r="F108" s="6" t="s">
        <v>525</v>
      </c>
      <c r="G108" s="20" t="s">
        <v>511</v>
      </c>
      <c r="H108" s="5" t="s">
        <v>684</v>
      </c>
    </row>
    <row r="109" customFormat="false" ht="16.5" hidden="false" customHeight="true" outlineLevel="0" collapsed="false">
      <c r="A109" s="40" t="s">
        <v>361</v>
      </c>
      <c r="B109" s="40" t="s">
        <v>367</v>
      </c>
      <c r="C109" s="40" t="s">
        <v>433</v>
      </c>
      <c r="D109" s="40" t="s">
        <v>685</v>
      </c>
      <c r="E109" s="41" t="s">
        <v>499</v>
      </c>
      <c r="F109" s="41" t="s">
        <v>489</v>
      </c>
      <c r="G109" s="24" t="s">
        <v>511</v>
      </c>
      <c r="H109" s="40" t="s">
        <v>686</v>
      </c>
    </row>
    <row r="110" customFormat="false" ht="16.5" hidden="false" customHeight="true" outlineLevel="0" collapsed="false">
      <c r="A110" s="5" t="s">
        <v>361</v>
      </c>
      <c r="B110" s="5" t="s">
        <v>370</v>
      </c>
      <c r="C110" s="5" t="s">
        <v>435</v>
      </c>
      <c r="D110" s="5" t="s">
        <v>687</v>
      </c>
      <c r="E110" s="6" t="s">
        <v>166</v>
      </c>
      <c r="F110" s="6" t="s">
        <v>485</v>
      </c>
      <c r="G110" s="20" t="s">
        <v>486</v>
      </c>
      <c r="H110" s="5" t="s">
        <v>688</v>
      </c>
    </row>
    <row r="111" customFormat="false" ht="16.5" hidden="false" customHeight="true" outlineLevel="0" collapsed="false">
      <c r="A111" s="5" t="s">
        <v>361</v>
      </c>
      <c r="B111" s="5" t="s">
        <v>370</v>
      </c>
      <c r="C111" s="5" t="s">
        <v>435</v>
      </c>
      <c r="D111" s="5" t="s">
        <v>689</v>
      </c>
      <c r="E111" s="6" t="s">
        <v>166</v>
      </c>
      <c r="F111" s="6" t="s">
        <v>557</v>
      </c>
      <c r="G111" s="20" t="s">
        <v>496</v>
      </c>
      <c r="H111" s="5" t="s">
        <v>688</v>
      </c>
    </row>
    <row r="112" customFormat="false" ht="16.5" hidden="false" customHeight="true" outlineLevel="0" collapsed="false">
      <c r="A112" s="5" t="s">
        <v>361</v>
      </c>
      <c r="B112" s="5" t="s">
        <v>370</v>
      </c>
      <c r="C112" s="5" t="s">
        <v>435</v>
      </c>
      <c r="D112" s="5" t="s">
        <v>690</v>
      </c>
      <c r="E112" s="6" t="s">
        <v>166</v>
      </c>
      <c r="F112" s="6" t="s">
        <v>485</v>
      </c>
      <c r="G112" s="20" t="s">
        <v>496</v>
      </c>
      <c r="H112" s="5" t="s">
        <v>691</v>
      </c>
    </row>
    <row r="113" customFormat="false" ht="16.5" hidden="false" customHeight="true" outlineLevel="0" collapsed="false">
      <c r="A113" s="5" t="s">
        <v>361</v>
      </c>
      <c r="B113" s="5" t="s">
        <v>370</v>
      </c>
      <c r="C113" s="5" t="s">
        <v>435</v>
      </c>
      <c r="D113" s="5" t="s">
        <v>692</v>
      </c>
      <c r="E113" s="6" t="s">
        <v>166</v>
      </c>
      <c r="F113" s="6" t="s">
        <v>485</v>
      </c>
      <c r="G113" s="20" t="s">
        <v>486</v>
      </c>
      <c r="H113" s="5" t="s">
        <v>693</v>
      </c>
    </row>
    <row r="114" customFormat="false" ht="16.5" hidden="false" customHeight="true" outlineLevel="0" collapsed="false">
      <c r="A114" s="40" t="s">
        <v>361</v>
      </c>
      <c r="B114" s="40" t="s">
        <v>370</v>
      </c>
      <c r="C114" s="40" t="s">
        <v>435</v>
      </c>
      <c r="D114" s="40" t="s">
        <v>694</v>
      </c>
      <c r="E114" s="41" t="s">
        <v>499</v>
      </c>
      <c r="F114" s="41" t="s">
        <v>557</v>
      </c>
      <c r="G114" s="24" t="s">
        <v>511</v>
      </c>
      <c r="H114" s="40" t="s">
        <v>695</v>
      </c>
    </row>
    <row r="115" customFormat="false" ht="16.5" hidden="false" customHeight="true" outlineLevel="0" collapsed="false">
      <c r="A115" s="5" t="s">
        <v>361</v>
      </c>
      <c r="B115" s="5" t="s">
        <v>370</v>
      </c>
      <c r="C115" s="5" t="s">
        <v>437</v>
      </c>
      <c r="D115" s="5" t="s">
        <v>696</v>
      </c>
      <c r="E115" s="6" t="s">
        <v>166</v>
      </c>
      <c r="F115" s="6" t="s">
        <v>485</v>
      </c>
      <c r="G115" s="20" t="s">
        <v>486</v>
      </c>
      <c r="H115" s="5" t="s">
        <v>697</v>
      </c>
    </row>
    <row r="116" customFormat="false" ht="16.5" hidden="false" customHeight="true" outlineLevel="0" collapsed="false">
      <c r="A116" s="5" t="s">
        <v>361</v>
      </c>
      <c r="B116" s="5" t="s">
        <v>370</v>
      </c>
      <c r="C116" s="5" t="s">
        <v>437</v>
      </c>
      <c r="D116" s="5" t="s">
        <v>698</v>
      </c>
      <c r="E116" s="6" t="s">
        <v>166</v>
      </c>
      <c r="F116" s="6" t="s">
        <v>485</v>
      </c>
      <c r="G116" s="20" t="s">
        <v>486</v>
      </c>
      <c r="H116" s="5" t="s">
        <v>699</v>
      </c>
    </row>
    <row r="117" customFormat="false" ht="16.5" hidden="false" customHeight="true" outlineLevel="0" collapsed="false">
      <c r="A117" s="5" t="s">
        <v>361</v>
      </c>
      <c r="B117" s="5" t="s">
        <v>370</v>
      </c>
      <c r="C117" s="5" t="s">
        <v>437</v>
      </c>
      <c r="D117" s="5" t="s">
        <v>700</v>
      </c>
      <c r="E117" s="6" t="s">
        <v>166</v>
      </c>
      <c r="F117" s="6" t="s">
        <v>485</v>
      </c>
      <c r="G117" s="20" t="s">
        <v>496</v>
      </c>
      <c r="H117" s="5" t="s">
        <v>701</v>
      </c>
    </row>
    <row r="118" customFormat="false" ht="16.5" hidden="false" customHeight="true" outlineLevel="0" collapsed="false">
      <c r="A118" s="5" t="s">
        <v>361</v>
      </c>
      <c r="B118" s="5" t="s">
        <v>370</v>
      </c>
      <c r="C118" s="5" t="s">
        <v>437</v>
      </c>
      <c r="D118" s="5" t="s">
        <v>702</v>
      </c>
      <c r="E118" s="6" t="s">
        <v>166</v>
      </c>
      <c r="F118" s="6" t="s">
        <v>557</v>
      </c>
      <c r="G118" s="20" t="s">
        <v>496</v>
      </c>
      <c r="H118" s="5" t="s">
        <v>703</v>
      </c>
    </row>
    <row r="119" customFormat="false" ht="16.5" hidden="false" customHeight="true" outlineLevel="0" collapsed="false">
      <c r="A119" s="40" t="s">
        <v>361</v>
      </c>
      <c r="B119" s="40" t="s">
        <v>370</v>
      </c>
      <c r="C119" s="40" t="s">
        <v>437</v>
      </c>
      <c r="D119" s="40" t="s">
        <v>704</v>
      </c>
      <c r="E119" s="41" t="s">
        <v>499</v>
      </c>
      <c r="F119" s="41" t="s">
        <v>557</v>
      </c>
      <c r="G119" s="24" t="s">
        <v>511</v>
      </c>
      <c r="H119" s="40" t="s">
        <v>705</v>
      </c>
    </row>
    <row r="120" customFormat="false" ht="16.5" hidden="false" customHeight="true" outlineLevel="0" collapsed="false">
      <c r="A120" s="5" t="s">
        <v>361</v>
      </c>
      <c r="B120" s="5" t="s">
        <v>370</v>
      </c>
      <c r="C120" s="5" t="s">
        <v>439</v>
      </c>
      <c r="D120" s="5" t="s">
        <v>706</v>
      </c>
      <c r="E120" s="6" t="s">
        <v>166</v>
      </c>
      <c r="F120" s="6" t="s">
        <v>485</v>
      </c>
      <c r="G120" s="20" t="s">
        <v>486</v>
      </c>
      <c r="H120" s="5" t="s">
        <v>707</v>
      </c>
    </row>
    <row r="121" customFormat="false" ht="16.5" hidden="false" customHeight="true" outlineLevel="0" collapsed="false">
      <c r="A121" s="5" t="s">
        <v>361</v>
      </c>
      <c r="B121" s="5" t="s">
        <v>370</v>
      </c>
      <c r="C121" s="5" t="s">
        <v>439</v>
      </c>
      <c r="D121" s="5" t="s">
        <v>708</v>
      </c>
      <c r="E121" s="6" t="s">
        <v>166</v>
      </c>
      <c r="F121" s="6" t="s">
        <v>557</v>
      </c>
      <c r="G121" s="20" t="s">
        <v>496</v>
      </c>
      <c r="H121" s="5" t="s">
        <v>709</v>
      </c>
    </row>
    <row r="122" customFormat="false" ht="16.5" hidden="false" customHeight="true" outlineLevel="0" collapsed="false">
      <c r="A122" s="5" t="s">
        <v>361</v>
      </c>
      <c r="B122" s="5" t="s">
        <v>370</v>
      </c>
      <c r="C122" s="5" t="s">
        <v>439</v>
      </c>
      <c r="D122" s="5" t="s">
        <v>710</v>
      </c>
      <c r="E122" s="6" t="s">
        <v>166</v>
      </c>
      <c r="F122" s="6" t="s">
        <v>485</v>
      </c>
      <c r="G122" s="20" t="s">
        <v>496</v>
      </c>
      <c r="H122" s="5" t="s">
        <v>711</v>
      </c>
    </row>
    <row r="123" customFormat="false" ht="16.5" hidden="false" customHeight="true" outlineLevel="0" collapsed="false">
      <c r="A123" s="5" t="s">
        <v>361</v>
      </c>
      <c r="B123" s="5" t="s">
        <v>370</v>
      </c>
      <c r="C123" s="5" t="s">
        <v>439</v>
      </c>
      <c r="D123" s="5" t="s">
        <v>712</v>
      </c>
      <c r="E123" s="6" t="s">
        <v>166</v>
      </c>
      <c r="F123" s="6" t="s">
        <v>485</v>
      </c>
      <c r="G123" s="20" t="s">
        <v>496</v>
      </c>
      <c r="H123" s="5" t="s">
        <v>713</v>
      </c>
    </row>
    <row r="124" customFormat="false" ht="16.5" hidden="false" customHeight="true" outlineLevel="0" collapsed="false">
      <c r="A124" s="40" t="s">
        <v>361</v>
      </c>
      <c r="B124" s="40" t="s">
        <v>370</v>
      </c>
      <c r="C124" s="40" t="s">
        <v>439</v>
      </c>
      <c r="D124" s="40" t="s">
        <v>714</v>
      </c>
      <c r="E124" s="41" t="s">
        <v>499</v>
      </c>
      <c r="F124" s="41" t="s">
        <v>485</v>
      </c>
      <c r="G124" s="24" t="s">
        <v>511</v>
      </c>
      <c r="H124" s="40" t="s">
        <v>715</v>
      </c>
    </row>
    <row r="125" customFormat="false" ht="16.5" hidden="false" customHeight="true" outlineLevel="0" collapsed="false">
      <c r="A125" s="5" t="s">
        <v>373</v>
      </c>
      <c r="B125" s="5" t="s">
        <v>374</v>
      </c>
      <c r="C125" s="5" t="s">
        <v>441</v>
      </c>
      <c r="D125" s="5" t="s">
        <v>716</v>
      </c>
      <c r="E125" s="6" t="s">
        <v>166</v>
      </c>
      <c r="F125" s="6" t="s">
        <v>485</v>
      </c>
      <c r="G125" s="20" t="s">
        <v>486</v>
      </c>
      <c r="H125" s="5" t="s">
        <v>717</v>
      </c>
    </row>
    <row r="126" customFormat="false" ht="16.5" hidden="false" customHeight="true" outlineLevel="0" collapsed="false">
      <c r="A126" s="5" t="s">
        <v>373</v>
      </c>
      <c r="B126" s="5" t="s">
        <v>374</v>
      </c>
      <c r="C126" s="5" t="s">
        <v>441</v>
      </c>
      <c r="D126" s="5" t="s">
        <v>718</v>
      </c>
      <c r="E126" s="6" t="s">
        <v>166</v>
      </c>
      <c r="F126" s="6" t="s">
        <v>485</v>
      </c>
      <c r="G126" s="20" t="s">
        <v>496</v>
      </c>
      <c r="H126" s="5" t="s">
        <v>719</v>
      </c>
    </row>
    <row r="127" customFormat="false" ht="16.5" hidden="false" customHeight="true" outlineLevel="0" collapsed="false">
      <c r="A127" s="5" t="s">
        <v>373</v>
      </c>
      <c r="B127" s="5" t="s">
        <v>374</v>
      </c>
      <c r="C127" s="5" t="s">
        <v>441</v>
      </c>
      <c r="D127" s="5" t="s">
        <v>720</v>
      </c>
      <c r="E127" s="6" t="s">
        <v>166</v>
      </c>
      <c r="F127" s="6" t="s">
        <v>485</v>
      </c>
      <c r="G127" s="20" t="s">
        <v>486</v>
      </c>
      <c r="H127" s="5" t="s">
        <v>721</v>
      </c>
    </row>
    <row r="128" customFormat="false" ht="16.5" hidden="false" customHeight="true" outlineLevel="0" collapsed="false">
      <c r="A128" s="5" t="s">
        <v>373</v>
      </c>
      <c r="B128" s="5" t="s">
        <v>374</v>
      </c>
      <c r="C128" s="5" t="s">
        <v>441</v>
      </c>
      <c r="D128" s="5" t="s">
        <v>722</v>
      </c>
      <c r="E128" s="6" t="s">
        <v>166</v>
      </c>
      <c r="F128" s="6" t="s">
        <v>489</v>
      </c>
      <c r="G128" s="20" t="s">
        <v>486</v>
      </c>
      <c r="H128" s="5" t="s">
        <v>723</v>
      </c>
    </row>
    <row r="129" customFormat="false" ht="16.5" hidden="false" customHeight="true" outlineLevel="0" collapsed="false">
      <c r="A129" s="40" t="s">
        <v>373</v>
      </c>
      <c r="B129" s="40" t="s">
        <v>374</v>
      </c>
      <c r="C129" s="40" t="s">
        <v>441</v>
      </c>
      <c r="D129" s="40" t="s">
        <v>724</v>
      </c>
      <c r="E129" s="41" t="s">
        <v>499</v>
      </c>
      <c r="F129" s="41" t="s">
        <v>485</v>
      </c>
      <c r="G129" s="24" t="s">
        <v>496</v>
      </c>
      <c r="H129" s="40" t="s">
        <v>725</v>
      </c>
    </row>
    <row r="130" customFormat="false" ht="16.5" hidden="false" customHeight="true" outlineLevel="0" collapsed="false">
      <c r="A130" s="5" t="s">
        <v>373</v>
      </c>
      <c r="B130" s="5" t="s">
        <v>374</v>
      </c>
      <c r="C130" s="5" t="s">
        <v>443</v>
      </c>
      <c r="D130" s="5" t="s">
        <v>726</v>
      </c>
      <c r="E130" s="6" t="s">
        <v>166</v>
      </c>
      <c r="F130" s="6" t="s">
        <v>485</v>
      </c>
      <c r="G130" s="20" t="s">
        <v>486</v>
      </c>
      <c r="H130" s="5" t="s">
        <v>727</v>
      </c>
    </row>
    <row r="131" customFormat="false" ht="16.5" hidden="false" customHeight="true" outlineLevel="0" collapsed="false">
      <c r="A131" s="5" t="s">
        <v>373</v>
      </c>
      <c r="B131" s="5" t="s">
        <v>374</v>
      </c>
      <c r="C131" s="5" t="s">
        <v>443</v>
      </c>
      <c r="D131" s="5" t="s">
        <v>728</v>
      </c>
      <c r="E131" s="6" t="s">
        <v>166</v>
      </c>
      <c r="F131" s="6" t="s">
        <v>489</v>
      </c>
      <c r="G131" s="6" t="s">
        <v>490</v>
      </c>
      <c r="H131" s="5" t="s">
        <v>602</v>
      </c>
    </row>
    <row r="132" customFormat="false" ht="16.5" hidden="false" customHeight="true" outlineLevel="0" collapsed="false">
      <c r="A132" s="5" t="s">
        <v>373</v>
      </c>
      <c r="B132" s="5" t="s">
        <v>374</v>
      </c>
      <c r="C132" s="5" t="s">
        <v>443</v>
      </c>
      <c r="D132" s="5" t="s">
        <v>729</v>
      </c>
      <c r="E132" s="6" t="s">
        <v>166</v>
      </c>
      <c r="F132" s="6" t="s">
        <v>485</v>
      </c>
      <c r="G132" s="20" t="s">
        <v>486</v>
      </c>
      <c r="H132" s="5" t="s">
        <v>730</v>
      </c>
    </row>
    <row r="133" customFormat="false" ht="16.5" hidden="false" customHeight="true" outlineLevel="0" collapsed="false">
      <c r="A133" s="5" t="s">
        <v>373</v>
      </c>
      <c r="B133" s="5" t="s">
        <v>374</v>
      </c>
      <c r="C133" s="5" t="s">
        <v>443</v>
      </c>
      <c r="D133" s="5" t="s">
        <v>731</v>
      </c>
      <c r="E133" s="6" t="s">
        <v>166</v>
      </c>
      <c r="F133" s="6" t="s">
        <v>485</v>
      </c>
      <c r="G133" s="20" t="s">
        <v>486</v>
      </c>
      <c r="H133" s="5" t="s">
        <v>732</v>
      </c>
    </row>
    <row r="134" customFormat="false" ht="16.5" hidden="false" customHeight="true" outlineLevel="0" collapsed="false">
      <c r="A134" s="40" t="s">
        <v>373</v>
      </c>
      <c r="B134" s="40" t="s">
        <v>374</v>
      </c>
      <c r="C134" s="40" t="s">
        <v>443</v>
      </c>
      <c r="D134" s="40" t="s">
        <v>733</v>
      </c>
      <c r="E134" s="41" t="s">
        <v>499</v>
      </c>
      <c r="F134" s="41" t="s">
        <v>489</v>
      </c>
      <c r="G134" s="24" t="s">
        <v>511</v>
      </c>
      <c r="H134" s="40" t="s">
        <v>734</v>
      </c>
    </row>
    <row r="135" customFormat="false" ht="16.5" hidden="false" customHeight="true" outlineLevel="0" collapsed="false">
      <c r="A135" s="5" t="s">
        <v>373</v>
      </c>
      <c r="B135" s="5" t="s">
        <v>374</v>
      </c>
      <c r="C135" s="5" t="s">
        <v>445</v>
      </c>
      <c r="D135" s="5" t="s">
        <v>188</v>
      </c>
      <c r="E135" s="6" t="s">
        <v>166</v>
      </c>
      <c r="F135" s="6" t="s">
        <v>485</v>
      </c>
      <c r="G135" s="6" t="s">
        <v>490</v>
      </c>
      <c r="H135" s="5" t="s">
        <v>735</v>
      </c>
    </row>
    <row r="136" customFormat="false" ht="16.5" hidden="false" customHeight="true" outlineLevel="0" collapsed="false">
      <c r="A136" s="5" t="s">
        <v>373</v>
      </c>
      <c r="B136" s="5" t="s">
        <v>374</v>
      </c>
      <c r="C136" s="5" t="s">
        <v>445</v>
      </c>
      <c r="D136" s="5" t="s">
        <v>736</v>
      </c>
      <c r="E136" s="6" t="s">
        <v>166</v>
      </c>
      <c r="F136" s="6" t="s">
        <v>485</v>
      </c>
      <c r="G136" s="20" t="s">
        <v>486</v>
      </c>
      <c r="H136" s="5" t="s">
        <v>737</v>
      </c>
    </row>
    <row r="137" customFormat="false" ht="16.5" hidden="false" customHeight="true" outlineLevel="0" collapsed="false">
      <c r="A137" s="5" t="s">
        <v>373</v>
      </c>
      <c r="B137" s="5" t="s">
        <v>374</v>
      </c>
      <c r="C137" s="5" t="s">
        <v>445</v>
      </c>
      <c r="D137" s="5" t="s">
        <v>738</v>
      </c>
      <c r="E137" s="6" t="s">
        <v>166</v>
      </c>
      <c r="F137" s="6" t="s">
        <v>489</v>
      </c>
      <c r="G137" s="20" t="s">
        <v>486</v>
      </c>
      <c r="H137" s="5" t="s">
        <v>739</v>
      </c>
    </row>
    <row r="138" customFormat="false" ht="16.5" hidden="false" customHeight="true" outlineLevel="0" collapsed="false">
      <c r="A138" s="5" t="s">
        <v>373</v>
      </c>
      <c r="B138" s="5" t="s">
        <v>374</v>
      </c>
      <c r="C138" s="5" t="s">
        <v>445</v>
      </c>
      <c r="D138" s="5" t="s">
        <v>740</v>
      </c>
      <c r="E138" s="6" t="s">
        <v>166</v>
      </c>
      <c r="F138" s="6" t="s">
        <v>485</v>
      </c>
      <c r="G138" s="20" t="s">
        <v>486</v>
      </c>
      <c r="H138" s="5" t="s">
        <v>577</v>
      </c>
    </row>
    <row r="139" customFormat="false" ht="16.5" hidden="false" customHeight="true" outlineLevel="0" collapsed="false">
      <c r="A139" s="40" t="s">
        <v>373</v>
      </c>
      <c r="B139" s="40" t="s">
        <v>374</v>
      </c>
      <c r="C139" s="40" t="s">
        <v>445</v>
      </c>
      <c r="D139" s="40" t="s">
        <v>741</v>
      </c>
      <c r="E139" s="41" t="s">
        <v>499</v>
      </c>
      <c r="F139" s="41" t="s">
        <v>485</v>
      </c>
      <c r="G139" s="24" t="s">
        <v>496</v>
      </c>
      <c r="H139" s="40" t="s">
        <v>742</v>
      </c>
    </row>
    <row r="140" customFormat="false" ht="16.5" hidden="false" customHeight="true" outlineLevel="0" collapsed="false">
      <c r="A140" s="5" t="s">
        <v>373</v>
      </c>
      <c r="B140" s="5" t="s">
        <v>377</v>
      </c>
      <c r="C140" s="5" t="s">
        <v>447</v>
      </c>
      <c r="D140" s="5" t="s">
        <v>743</v>
      </c>
      <c r="E140" s="6" t="s">
        <v>166</v>
      </c>
      <c r="F140" s="6" t="s">
        <v>485</v>
      </c>
      <c r="G140" s="20" t="s">
        <v>486</v>
      </c>
      <c r="H140" s="5" t="s">
        <v>744</v>
      </c>
    </row>
    <row r="141" customFormat="false" ht="16.5" hidden="false" customHeight="true" outlineLevel="0" collapsed="false">
      <c r="A141" s="5" t="s">
        <v>373</v>
      </c>
      <c r="B141" s="5" t="s">
        <v>377</v>
      </c>
      <c r="C141" s="5" t="s">
        <v>447</v>
      </c>
      <c r="D141" s="5" t="s">
        <v>745</v>
      </c>
      <c r="E141" s="6" t="s">
        <v>166</v>
      </c>
      <c r="F141" s="6" t="s">
        <v>489</v>
      </c>
      <c r="G141" s="6" t="s">
        <v>490</v>
      </c>
      <c r="H141" s="5" t="s">
        <v>746</v>
      </c>
    </row>
    <row r="142" customFormat="false" ht="16.5" hidden="false" customHeight="true" outlineLevel="0" collapsed="false">
      <c r="A142" s="5" t="s">
        <v>373</v>
      </c>
      <c r="B142" s="5" t="s">
        <v>377</v>
      </c>
      <c r="C142" s="5" t="s">
        <v>447</v>
      </c>
      <c r="D142" s="5" t="s">
        <v>747</v>
      </c>
      <c r="E142" s="6" t="s">
        <v>166</v>
      </c>
      <c r="F142" s="6" t="s">
        <v>485</v>
      </c>
      <c r="G142" s="20" t="s">
        <v>496</v>
      </c>
      <c r="H142" s="5" t="s">
        <v>509</v>
      </c>
    </row>
    <row r="143" customFormat="false" ht="16.5" hidden="false" customHeight="true" outlineLevel="0" collapsed="false">
      <c r="A143" s="5" t="s">
        <v>373</v>
      </c>
      <c r="B143" s="5" t="s">
        <v>377</v>
      </c>
      <c r="C143" s="5" t="s">
        <v>447</v>
      </c>
      <c r="D143" s="5" t="s">
        <v>748</v>
      </c>
      <c r="E143" s="6" t="s">
        <v>166</v>
      </c>
      <c r="F143" s="6" t="s">
        <v>485</v>
      </c>
      <c r="G143" s="20" t="s">
        <v>486</v>
      </c>
      <c r="H143" s="5" t="s">
        <v>749</v>
      </c>
    </row>
    <row r="144" customFormat="false" ht="16.5" hidden="false" customHeight="true" outlineLevel="0" collapsed="false">
      <c r="A144" s="40" t="s">
        <v>373</v>
      </c>
      <c r="B144" s="40" t="s">
        <v>377</v>
      </c>
      <c r="C144" s="40" t="s">
        <v>447</v>
      </c>
      <c r="D144" s="40" t="s">
        <v>750</v>
      </c>
      <c r="E144" s="41" t="s">
        <v>499</v>
      </c>
      <c r="F144" s="41" t="s">
        <v>485</v>
      </c>
      <c r="G144" s="24" t="s">
        <v>511</v>
      </c>
      <c r="H144" s="40" t="s">
        <v>751</v>
      </c>
    </row>
    <row r="145" customFormat="false" ht="16.5" hidden="false" customHeight="true" outlineLevel="0" collapsed="false">
      <c r="A145" s="5" t="s">
        <v>373</v>
      </c>
      <c r="B145" s="5" t="s">
        <v>377</v>
      </c>
      <c r="C145" s="5" t="s">
        <v>449</v>
      </c>
      <c r="D145" s="5" t="s">
        <v>752</v>
      </c>
      <c r="E145" s="6" t="s">
        <v>166</v>
      </c>
      <c r="F145" s="6" t="s">
        <v>557</v>
      </c>
      <c r="G145" s="20" t="s">
        <v>496</v>
      </c>
      <c r="H145" s="5" t="s">
        <v>507</v>
      </c>
    </row>
    <row r="146" customFormat="false" ht="16.5" hidden="false" customHeight="true" outlineLevel="0" collapsed="false">
      <c r="A146" s="5" t="s">
        <v>373</v>
      </c>
      <c r="B146" s="5" t="s">
        <v>377</v>
      </c>
      <c r="C146" s="5" t="s">
        <v>449</v>
      </c>
      <c r="D146" s="5" t="s">
        <v>753</v>
      </c>
      <c r="E146" s="6" t="s">
        <v>166</v>
      </c>
      <c r="F146" s="6" t="s">
        <v>485</v>
      </c>
      <c r="G146" s="20" t="s">
        <v>486</v>
      </c>
      <c r="H146" s="5" t="s">
        <v>502</v>
      </c>
    </row>
    <row r="147" customFormat="false" ht="16.5" hidden="false" customHeight="true" outlineLevel="0" collapsed="false">
      <c r="A147" s="5" t="s">
        <v>373</v>
      </c>
      <c r="B147" s="5" t="s">
        <v>377</v>
      </c>
      <c r="C147" s="5" t="s">
        <v>449</v>
      </c>
      <c r="D147" s="5" t="s">
        <v>754</v>
      </c>
      <c r="E147" s="6" t="s">
        <v>166</v>
      </c>
      <c r="F147" s="6" t="s">
        <v>504</v>
      </c>
      <c r="G147" s="20" t="s">
        <v>496</v>
      </c>
      <c r="H147" s="5" t="s">
        <v>755</v>
      </c>
    </row>
    <row r="148" customFormat="false" ht="16.5" hidden="false" customHeight="true" outlineLevel="0" collapsed="false">
      <c r="A148" s="5" t="s">
        <v>373</v>
      </c>
      <c r="B148" s="5" t="s">
        <v>377</v>
      </c>
      <c r="C148" s="5" t="s">
        <v>449</v>
      </c>
      <c r="D148" s="5" t="s">
        <v>756</v>
      </c>
      <c r="E148" s="6" t="s">
        <v>166</v>
      </c>
      <c r="F148" s="6" t="s">
        <v>485</v>
      </c>
      <c r="G148" s="6" t="s">
        <v>490</v>
      </c>
      <c r="H148" s="5" t="s">
        <v>727</v>
      </c>
    </row>
    <row r="149" customFormat="false" ht="16.5" hidden="false" customHeight="true" outlineLevel="0" collapsed="false">
      <c r="A149" s="40" t="s">
        <v>373</v>
      </c>
      <c r="B149" s="40" t="s">
        <v>377</v>
      </c>
      <c r="C149" s="40" t="s">
        <v>449</v>
      </c>
      <c r="D149" s="40" t="s">
        <v>757</v>
      </c>
      <c r="E149" s="41" t="s">
        <v>499</v>
      </c>
      <c r="F149" s="41" t="s">
        <v>557</v>
      </c>
      <c r="G149" s="24" t="s">
        <v>511</v>
      </c>
      <c r="H149" s="40" t="s">
        <v>758</v>
      </c>
    </row>
    <row r="150" customFormat="false" ht="16.5" hidden="false" customHeight="true" outlineLevel="0" collapsed="false">
      <c r="A150" s="5" t="s">
        <v>373</v>
      </c>
      <c r="B150" s="5" t="s">
        <v>377</v>
      </c>
      <c r="C150" s="5" t="s">
        <v>451</v>
      </c>
      <c r="D150" s="5" t="s">
        <v>759</v>
      </c>
      <c r="E150" s="6" t="s">
        <v>166</v>
      </c>
      <c r="F150" s="6" t="s">
        <v>489</v>
      </c>
      <c r="G150" s="20" t="s">
        <v>486</v>
      </c>
      <c r="H150" s="5" t="s">
        <v>542</v>
      </c>
    </row>
    <row r="151" customFormat="false" ht="16.5" hidden="false" customHeight="true" outlineLevel="0" collapsed="false">
      <c r="A151" s="5" t="s">
        <v>373</v>
      </c>
      <c r="B151" s="5" t="s">
        <v>377</v>
      </c>
      <c r="C151" s="5" t="s">
        <v>451</v>
      </c>
      <c r="D151" s="5" t="s">
        <v>760</v>
      </c>
      <c r="E151" s="6" t="s">
        <v>166</v>
      </c>
      <c r="F151" s="6" t="s">
        <v>489</v>
      </c>
      <c r="G151" s="20" t="s">
        <v>486</v>
      </c>
      <c r="H151" s="5" t="s">
        <v>761</v>
      </c>
    </row>
    <row r="152" customFormat="false" ht="16.5" hidden="false" customHeight="true" outlineLevel="0" collapsed="false">
      <c r="A152" s="5" t="s">
        <v>373</v>
      </c>
      <c r="B152" s="5" t="s">
        <v>377</v>
      </c>
      <c r="C152" s="5" t="s">
        <v>451</v>
      </c>
      <c r="D152" s="5" t="s">
        <v>762</v>
      </c>
      <c r="E152" s="6" t="s">
        <v>166</v>
      </c>
      <c r="F152" s="6" t="s">
        <v>489</v>
      </c>
      <c r="G152" s="20" t="s">
        <v>496</v>
      </c>
      <c r="H152" s="5" t="s">
        <v>763</v>
      </c>
    </row>
    <row r="153" customFormat="false" ht="16.5" hidden="false" customHeight="true" outlineLevel="0" collapsed="false">
      <c r="A153" s="5" t="s">
        <v>373</v>
      </c>
      <c r="B153" s="5" t="s">
        <v>377</v>
      </c>
      <c r="C153" s="5" t="s">
        <v>451</v>
      </c>
      <c r="D153" s="5" t="s">
        <v>764</v>
      </c>
      <c r="E153" s="6" t="s">
        <v>166</v>
      </c>
      <c r="F153" s="6" t="s">
        <v>489</v>
      </c>
      <c r="G153" s="20" t="s">
        <v>496</v>
      </c>
      <c r="H153" s="5" t="s">
        <v>765</v>
      </c>
    </row>
    <row r="154" customFormat="false" ht="16.5" hidden="false" customHeight="true" outlineLevel="0" collapsed="false">
      <c r="A154" s="40" t="s">
        <v>373</v>
      </c>
      <c r="B154" s="40" t="s">
        <v>377</v>
      </c>
      <c r="C154" s="40" t="s">
        <v>451</v>
      </c>
      <c r="D154" s="40" t="s">
        <v>766</v>
      </c>
      <c r="E154" s="41" t="s">
        <v>499</v>
      </c>
      <c r="F154" s="41" t="s">
        <v>533</v>
      </c>
      <c r="G154" s="24" t="s">
        <v>511</v>
      </c>
      <c r="H154" s="40" t="s">
        <v>767</v>
      </c>
    </row>
    <row r="155" customFormat="false" ht="16.5" hidden="false" customHeight="true" outlineLevel="0" collapsed="false">
      <c r="A155" s="5" t="s">
        <v>373</v>
      </c>
      <c r="B155" s="5" t="s">
        <v>379</v>
      </c>
      <c r="C155" s="5" t="s">
        <v>453</v>
      </c>
      <c r="D155" s="5" t="s">
        <v>768</v>
      </c>
      <c r="E155" s="6" t="s">
        <v>166</v>
      </c>
      <c r="F155" s="6" t="s">
        <v>485</v>
      </c>
      <c r="G155" s="20" t="s">
        <v>486</v>
      </c>
      <c r="H155" s="5" t="s">
        <v>633</v>
      </c>
    </row>
    <row r="156" customFormat="false" ht="16.5" hidden="false" customHeight="true" outlineLevel="0" collapsed="false">
      <c r="A156" s="5" t="s">
        <v>373</v>
      </c>
      <c r="B156" s="5" t="s">
        <v>379</v>
      </c>
      <c r="C156" s="5" t="s">
        <v>453</v>
      </c>
      <c r="D156" s="5" t="s">
        <v>769</v>
      </c>
      <c r="E156" s="6" t="s">
        <v>166</v>
      </c>
      <c r="F156" s="6" t="s">
        <v>557</v>
      </c>
      <c r="G156" s="20" t="s">
        <v>496</v>
      </c>
      <c r="H156" s="5" t="s">
        <v>497</v>
      </c>
    </row>
    <row r="157" customFormat="false" ht="16.5" hidden="false" customHeight="true" outlineLevel="0" collapsed="false">
      <c r="A157" s="5" t="s">
        <v>373</v>
      </c>
      <c r="B157" s="5" t="s">
        <v>379</v>
      </c>
      <c r="C157" s="5" t="s">
        <v>453</v>
      </c>
      <c r="D157" s="5" t="s">
        <v>770</v>
      </c>
      <c r="E157" s="6" t="s">
        <v>166</v>
      </c>
      <c r="F157" s="6" t="s">
        <v>557</v>
      </c>
      <c r="G157" s="20" t="s">
        <v>496</v>
      </c>
      <c r="H157" s="5" t="s">
        <v>771</v>
      </c>
    </row>
    <row r="158" customFormat="false" ht="16.5" hidden="false" customHeight="true" outlineLevel="0" collapsed="false">
      <c r="A158" s="5" t="s">
        <v>373</v>
      </c>
      <c r="B158" s="5" t="s">
        <v>379</v>
      </c>
      <c r="C158" s="5" t="s">
        <v>453</v>
      </c>
      <c r="D158" s="5" t="s">
        <v>772</v>
      </c>
      <c r="E158" s="6" t="s">
        <v>166</v>
      </c>
      <c r="F158" s="6" t="s">
        <v>504</v>
      </c>
      <c r="G158" s="20" t="s">
        <v>496</v>
      </c>
      <c r="H158" s="5" t="s">
        <v>648</v>
      </c>
    </row>
    <row r="159" customFormat="false" ht="16.5" hidden="false" customHeight="true" outlineLevel="0" collapsed="false">
      <c r="A159" s="40" t="s">
        <v>373</v>
      </c>
      <c r="B159" s="40" t="s">
        <v>379</v>
      </c>
      <c r="C159" s="40" t="s">
        <v>453</v>
      </c>
      <c r="D159" s="40" t="s">
        <v>773</v>
      </c>
      <c r="E159" s="41" t="s">
        <v>499</v>
      </c>
      <c r="F159" s="41" t="s">
        <v>557</v>
      </c>
      <c r="G159" s="24" t="s">
        <v>520</v>
      </c>
      <c r="H159" s="40" t="s">
        <v>774</v>
      </c>
    </row>
    <row r="160" customFormat="false" ht="16.5" hidden="false" customHeight="true" outlineLevel="0" collapsed="false">
      <c r="A160" s="5" t="s">
        <v>373</v>
      </c>
      <c r="B160" s="5" t="s">
        <v>379</v>
      </c>
      <c r="C160" s="5" t="s">
        <v>455</v>
      </c>
      <c r="D160" s="5" t="s">
        <v>775</v>
      </c>
      <c r="E160" s="6" t="s">
        <v>166</v>
      </c>
      <c r="F160" s="6" t="s">
        <v>525</v>
      </c>
      <c r="G160" s="20" t="s">
        <v>486</v>
      </c>
      <c r="H160" s="7" t="s">
        <v>608</v>
      </c>
    </row>
    <row r="161" customFormat="false" ht="16.5" hidden="false" customHeight="true" outlineLevel="0" collapsed="false">
      <c r="A161" s="5" t="s">
        <v>373</v>
      </c>
      <c r="B161" s="5" t="s">
        <v>379</v>
      </c>
      <c r="C161" s="5" t="s">
        <v>455</v>
      </c>
      <c r="D161" s="5" t="s">
        <v>776</v>
      </c>
      <c r="E161" s="6" t="s">
        <v>166</v>
      </c>
      <c r="F161" s="6" t="s">
        <v>533</v>
      </c>
      <c r="G161" s="20" t="s">
        <v>496</v>
      </c>
      <c r="H161" s="7" t="s">
        <v>518</v>
      </c>
    </row>
    <row r="162" customFormat="false" ht="16.5" hidden="false" customHeight="true" outlineLevel="0" collapsed="false">
      <c r="A162" s="5" t="s">
        <v>373</v>
      </c>
      <c r="B162" s="5" t="s">
        <v>379</v>
      </c>
      <c r="C162" s="5" t="s">
        <v>455</v>
      </c>
      <c r="D162" s="5" t="s">
        <v>777</v>
      </c>
      <c r="E162" s="6" t="s">
        <v>166</v>
      </c>
      <c r="F162" s="6" t="s">
        <v>533</v>
      </c>
      <c r="G162" s="20" t="s">
        <v>486</v>
      </c>
      <c r="H162" s="5" t="s">
        <v>624</v>
      </c>
    </row>
    <row r="163" customFormat="false" ht="16.5" hidden="false" customHeight="true" outlineLevel="0" collapsed="false">
      <c r="A163" s="5" t="s">
        <v>373</v>
      </c>
      <c r="B163" s="5" t="s">
        <v>379</v>
      </c>
      <c r="C163" s="5" t="s">
        <v>455</v>
      </c>
      <c r="D163" s="5" t="s">
        <v>778</v>
      </c>
      <c r="E163" s="6" t="s">
        <v>166</v>
      </c>
      <c r="F163" s="6" t="s">
        <v>525</v>
      </c>
      <c r="G163" s="20" t="s">
        <v>486</v>
      </c>
      <c r="H163" s="7" t="s">
        <v>675</v>
      </c>
    </row>
    <row r="164" customFormat="false" ht="16.5" hidden="false" customHeight="true" outlineLevel="0" collapsed="false">
      <c r="A164" s="40" t="s">
        <v>373</v>
      </c>
      <c r="B164" s="40" t="s">
        <v>379</v>
      </c>
      <c r="C164" s="40" t="s">
        <v>455</v>
      </c>
      <c r="D164" s="40" t="s">
        <v>779</v>
      </c>
      <c r="E164" s="41" t="s">
        <v>499</v>
      </c>
      <c r="F164" s="41" t="s">
        <v>525</v>
      </c>
      <c r="G164" s="24" t="s">
        <v>511</v>
      </c>
      <c r="H164" s="40" t="s">
        <v>780</v>
      </c>
    </row>
    <row r="165" customFormat="false" ht="16.5" hidden="false" customHeight="true" outlineLevel="0" collapsed="false">
      <c r="A165" s="5" t="s">
        <v>373</v>
      </c>
      <c r="B165" s="5" t="s">
        <v>379</v>
      </c>
      <c r="C165" s="5" t="s">
        <v>457</v>
      </c>
      <c r="D165" s="5" t="s">
        <v>781</v>
      </c>
      <c r="E165" s="6" t="s">
        <v>166</v>
      </c>
      <c r="F165" s="6" t="s">
        <v>485</v>
      </c>
      <c r="G165" s="20" t="s">
        <v>555</v>
      </c>
      <c r="H165" s="5" t="s">
        <v>691</v>
      </c>
    </row>
    <row r="166" customFormat="false" ht="16.5" hidden="false" customHeight="true" outlineLevel="0" collapsed="false">
      <c r="A166" s="5" t="s">
        <v>373</v>
      </c>
      <c r="B166" s="5" t="s">
        <v>379</v>
      </c>
      <c r="C166" s="5" t="s">
        <v>457</v>
      </c>
      <c r="D166" s="5" t="s">
        <v>782</v>
      </c>
      <c r="E166" s="6" t="s">
        <v>166</v>
      </c>
      <c r="F166" s="6" t="s">
        <v>485</v>
      </c>
      <c r="G166" s="20" t="s">
        <v>555</v>
      </c>
      <c r="H166" s="5" t="s">
        <v>711</v>
      </c>
    </row>
    <row r="167" customFormat="false" ht="16.5" hidden="false" customHeight="true" outlineLevel="0" collapsed="false">
      <c r="A167" s="5" t="s">
        <v>373</v>
      </c>
      <c r="B167" s="5" t="s">
        <v>379</v>
      </c>
      <c r="C167" s="5" t="s">
        <v>457</v>
      </c>
      <c r="D167" s="5" t="s">
        <v>783</v>
      </c>
      <c r="E167" s="6" t="s">
        <v>166</v>
      </c>
      <c r="F167" s="6" t="s">
        <v>485</v>
      </c>
      <c r="G167" s="20" t="s">
        <v>555</v>
      </c>
      <c r="H167" s="5" t="s">
        <v>784</v>
      </c>
    </row>
    <row r="168" customFormat="false" ht="16.5" hidden="false" customHeight="true" outlineLevel="0" collapsed="false">
      <c r="A168" s="5" t="s">
        <v>373</v>
      </c>
      <c r="B168" s="5" t="s">
        <v>379</v>
      </c>
      <c r="C168" s="5" t="s">
        <v>457</v>
      </c>
      <c r="D168" s="5" t="s">
        <v>785</v>
      </c>
      <c r="E168" s="6" t="s">
        <v>166</v>
      </c>
      <c r="F168" s="6" t="s">
        <v>525</v>
      </c>
      <c r="G168" s="20" t="s">
        <v>555</v>
      </c>
      <c r="H168" s="5" t="s">
        <v>786</v>
      </c>
    </row>
    <row r="169" customFormat="false" ht="16.5" hidden="false" customHeight="true" outlineLevel="0" collapsed="false">
      <c r="A169" s="40" t="s">
        <v>373</v>
      </c>
      <c r="B169" s="40" t="s">
        <v>379</v>
      </c>
      <c r="C169" s="40" t="s">
        <v>457</v>
      </c>
      <c r="D169" s="40" t="s">
        <v>787</v>
      </c>
      <c r="E169" s="41" t="s">
        <v>499</v>
      </c>
      <c r="F169" s="41" t="s">
        <v>557</v>
      </c>
      <c r="G169" s="24" t="s">
        <v>788</v>
      </c>
      <c r="H169" s="40" t="s">
        <v>789</v>
      </c>
    </row>
    <row r="170" customFormat="false" ht="16.5" hidden="false" customHeight="true" outlineLevel="0" collapsed="false">
      <c r="A170" s="5" t="s">
        <v>381</v>
      </c>
      <c r="B170" s="5" t="s">
        <v>382</v>
      </c>
      <c r="C170" s="5" t="s">
        <v>459</v>
      </c>
      <c r="D170" s="5" t="s">
        <v>790</v>
      </c>
      <c r="E170" s="6" t="s">
        <v>166</v>
      </c>
      <c r="F170" s="6" t="s">
        <v>533</v>
      </c>
      <c r="G170" s="20" t="s">
        <v>496</v>
      </c>
      <c r="H170" s="5" t="s">
        <v>514</v>
      </c>
    </row>
    <row r="171" customFormat="false" ht="16.5" hidden="false" customHeight="true" outlineLevel="0" collapsed="false">
      <c r="A171" s="5" t="s">
        <v>381</v>
      </c>
      <c r="B171" s="5" t="s">
        <v>382</v>
      </c>
      <c r="C171" s="5" t="s">
        <v>459</v>
      </c>
      <c r="D171" s="5" t="s">
        <v>791</v>
      </c>
      <c r="E171" s="6" t="s">
        <v>166</v>
      </c>
      <c r="F171" s="6" t="s">
        <v>525</v>
      </c>
      <c r="G171" s="20" t="s">
        <v>486</v>
      </c>
      <c r="H171" s="5" t="s">
        <v>792</v>
      </c>
    </row>
    <row r="172" customFormat="false" ht="16.5" hidden="false" customHeight="true" outlineLevel="0" collapsed="false">
      <c r="A172" s="5" t="s">
        <v>381</v>
      </c>
      <c r="B172" s="5" t="s">
        <v>382</v>
      </c>
      <c r="C172" s="5" t="s">
        <v>459</v>
      </c>
      <c r="D172" s="5" t="s">
        <v>793</v>
      </c>
      <c r="E172" s="6" t="s">
        <v>166</v>
      </c>
      <c r="F172" s="6" t="s">
        <v>533</v>
      </c>
      <c r="G172" s="20" t="s">
        <v>496</v>
      </c>
      <c r="H172" s="5" t="s">
        <v>794</v>
      </c>
    </row>
    <row r="173" customFormat="false" ht="16.5" hidden="false" customHeight="true" outlineLevel="0" collapsed="false">
      <c r="A173" s="5" t="s">
        <v>381</v>
      </c>
      <c r="B173" s="5" t="s">
        <v>382</v>
      </c>
      <c r="C173" s="5" t="s">
        <v>459</v>
      </c>
      <c r="D173" s="5" t="s">
        <v>795</v>
      </c>
      <c r="E173" s="6" t="s">
        <v>166</v>
      </c>
      <c r="F173" s="6" t="s">
        <v>525</v>
      </c>
      <c r="G173" s="20" t="s">
        <v>486</v>
      </c>
      <c r="H173" s="5" t="s">
        <v>491</v>
      </c>
    </row>
    <row r="174" customFormat="false" ht="16.5" hidden="false" customHeight="true" outlineLevel="0" collapsed="false">
      <c r="A174" s="40" t="s">
        <v>381</v>
      </c>
      <c r="B174" s="40" t="s">
        <v>382</v>
      </c>
      <c r="C174" s="40" t="s">
        <v>459</v>
      </c>
      <c r="D174" s="40" t="s">
        <v>796</v>
      </c>
      <c r="E174" s="41" t="s">
        <v>499</v>
      </c>
      <c r="F174" s="41" t="s">
        <v>533</v>
      </c>
      <c r="G174" s="24" t="s">
        <v>511</v>
      </c>
      <c r="H174" s="40" t="s">
        <v>797</v>
      </c>
    </row>
    <row r="175" customFormat="false" ht="16.5" hidden="false" customHeight="true" outlineLevel="0" collapsed="false">
      <c r="A175" s="5" t="s">
        <v>381</v>
      </c>
      <c r="B175" s="5" t="s">
        <v>382</v>
      </c>
      <c r="C175" s="5" t="s">
        <v>461</v>
      </c>
      <c r="D175" s="5" t="s">
        <v>798</v>
      </c>
      <c r="E175" s="6" t="s">
        <v>166</v>
      </c>
      <c r="F175" s="6" t="s">
        <v>533</v>
      </c>
      <c r="G175" s="20" t="s">
        <v>496</v>
      </c>
      <c r="H175" s="5" t="s">
        <v>546</v>
      </c>
    </row>
    <row r="176" customFormat="false" ht="16.5" hidden="false" customHeight="true" outlineLevel="0" collapsed="false">
      <c r="A176" s="5" t="s">
        <v>381</v>
      </c>
      <c r="B176" s="5" t="s">
        <v>382</v>
      </c>
      <c r="C176" s="5" t="s">
        <v>461</v>
      </c>
      <c r="D176" s="5" t="s">
        <v>799</v>
      </c>
      <c r="E176" s="6" t="s">
        <v>166</v>
      </c>
      <c r="F176" s="6" t="s">
        <v>533</v>
      </c>
      <c r="G176" s="20" t="s">
        <v>496</v>
      </c>
      <c r="H176" s="5" t="s">
        <v>620</v>
      </c>
    </row>
    <row r="177" customFormat="false" ht="16.5" hidden="false" customHeight="true" outlineLevel="0" collapsed="false">
      <c r="A177" s="5" t="s">
        <v>381</v>
      </c>
      <c r="B177" s="5" t="s">
        <v>382</v>
      </c>
      <c r="C177" s="5" t="s">
        <v>461</v>
      </c>
      <c r="D177" s="5" t="s">
        <v>800</v>
      </c>
      <c r="E177" s="6" t="s">
        <v>166</v>
      </c>
      <c r="F177" s="6" t="s">
        <v>533</v>
      </c>
      <c r="G177" s="20" t="s">
        <v>496</v>
      </c>
      <c r="H177" s="5" t="s">
        <v>551</v>
      </c>
    </row>
    <row r="178" customFormat="false" ht="16.5" hidden="false" customHeight="true" outlineLevel="0" collapsed="false">
      <c r="A178" s="5" t="s">
        <v>381</v>
      </c>
      <c r="B178" s="5" t="s">
        <v>382</v>
      </c>
      <c r="C178" s="5" t="s">
        <v>461</v>
      </c>
      <c r="D178" s="5" t="s">
        <v>801</v>
      </c>
      <c r="E178" s="6" t="s">
        <v>166</v>
      </c>
      <c r="F178" s="6" t="s">
        <v>557</v>
      </c>
      <c r="G178" s="20" t="s">
        <v>496</v>
      </c>
      <c r="H178" s="5" t="s">
        <v>703</v>
      </c>
    </row>
    <row r="179" customFormat="false" ht="16.5" hidden="false" customHeight="true" outlineLevel="0" collapsed="false">
      <c r="A179" s="40" t="s">
        <v>381</v>
      </c>
      <c r="B179" s="40" t="s">
        <v>382</v>
      </c>
      <c r="C179" s="40" t="s">
        <v>461</v>
      </c>
      <c r="D179" s="40" t="s">
        <v>802</v>
      </c>
      <c r="E179" s="41" t="s">
        <v>499</v>
      </c>
      <c r="F179" s="41" t="s">
        <v>533</v>
      </c>
      <c r="G179" s="24" t="s">
        <v>511</v>
      </c>
      <c r="H179" s="40" t="s">
        <v>803</v>
      </c>
    </row>
    <row r="180" customFormat="false" ht="16.5" hidden="false" customHeight="true" outlineLevel="0" collapsed="false">
      <c r="A180" s="5" t="s">
        <v>381</v>
      </c>
      <c r="B180" s="5" t="s">
        <v>382</v>
      </c>
      <c r="C180" s="5" t="s">
        <v>463</v>
      </c>
      <c r="D180" s="5" t="s">
        <v>804</v>
      </c>
      <c r="E180" s="6" t="s">
        <v>166</v>
      </c>
      <c r="F180" s="6" t="s">
        <v>533</v>
      </c>
      <c r="G180" s="20" t="s">
        <v>496</v>
      </c>
      <c r="H180" s="5" t="s">
        <v>516</v>
      </c>
    </row>
    <row r="181" customFormat="false" ht="16.5" hidden="false" customHeight="true" outlineLevel="0" collapsed="false">
      <c r="A181" s="5" t="s">
        <v>381</v>
      </c>
      <c r="B181" s="5" t="s">
        <v>382</v>
      </c>
      <c r="C181" s="5" t="s">
        <v>463</v>
      </c>
      <c r="D181" s="5" t="s">
        <v>805</v>
      </c>
      <c r="E181" s="6" t="s">
        <v>166</v>
      </c>
      <c r="F181" s="6" t="s">
        <v>525</v>
      </c>
      <c r="G181" s="20" t="s">
        <v>486</v>
      </c>
      <c r="H181" s="5" t="s">
        <v>602</v>
      </c>
    </row>
    <row r="182" customFormat="false" ht="16.5" hidden="false" customHeight="true" outlineLevel="0" collapsed="false">
      <c r="A182" s="5" t="s">
        <v>381</v>
      </c>
      <c r="B182" s="5" t="s">
        <v>382</v>
      </c>
      <c r="C182" s="5" t="s">
        <v>463</v>
      </c>
      <c r="D182" s="5" t="s">
        <v>806</v>
      </c>
      <c r="E182" s="6" t="s">
        <v>166</v>
      </c>
      <c r="F182" s="6" t="s">
        <v>557</v>
      </c>
      <c r="G182" s="20" t="s">
        <v>496</v>
      </c>
      <c r="H182" s="5" t="s">
        <v>807</v>
      </c>
    </row>
    <row r="183" customFormat="false" ht="16.5" hidden="false" customHeight="true" outlineLevel="0" collapsed="false">
      <c r="A183" s="5" t="s">
        <v>381</v>
      </c>
      <c r="B183" s="5" t="s">
        <v>382</v>
      </c>
      <c r="C183" s="5" t="s">
        <v>463</v>
      </c>
      <c r="D183" s="5" t="s">
        <v>808</v>
      </c>
      <c r="E183" s="6" t="s">
        <v>166</v>
      </c>
      <c r="F183" s="6" t="s">
        <v>533</v>
      </c>
      <c r="G183" s="20" t="s">
        <v>486</v>
      </c>
      <c r="H183" s="5" t="s">
        <v>809</v>
      </c>
    </row>
    <row r="184" customFormat="false" ht="16.5" hidden="false" customHeight="true" outlineLevel="0" collapsed="false">
      <c r="A184" s="40" t="s">
        <v>381</v>
      </c>
      <c r="B184" s="40" t="s">
        <v>382</v>
      </c>
      <c r="C184" s="40" t="s">
        <v>463</v>
      </c>
      <c r="D184" s="40" t="s">
        <v>810</v>
      </c>
      <c r="E184" s="41" t="s">
        <v>499</v>
      </c>
      <c r="F184" s="41" t="s">
        <v>533</v>
      </c>
      <c r="G184" s="24" t="s">
        <v>511</v>
      </c>
      <c r="H184" s="40" t="s">
        <v>811</v>
      </c>
    </row>
    <row r="185" customFormat="false" ht="16.5" hidden="false" customHeight="true" outlineLevel="0" collapsed="false">
      <c r="A185" s="5" t="s">
        <v>381</v>
      </c>
      <c r="B185" s="5" t="s">
        <v>385</v>
      </c>
      <c r="C185" s="5" t="s">
        <v>465</v>
      </c>
      <c r="D185" s="5" t="s">
        <v>812</v>
      </c>
      <c r="E185" s="6" t="s">
        <v>166</v>
      </c>
      <c r="F185" s="6" t="s">
        <v>504</v>
      </c>
      <c r="G185" s="20" t="s">
        <v>496</v>
      </c>
      <c r="H185" s="5" t="s">
        <v>813</v>
      </c>
    </row>
    <row r="186" customFormat="false" ht="16.5" hidden="false" customHeight="true" outlineLevel="0" collapsed="false">
      <c r="A186" s="5" t="s">
        <v>381</v>
      </c>
      <c r="B186" s="5" t="s">
        <v>385</v>
      </c>
      <c r="C186" s="5" t="s">
        <v>465</v>
      </c>
      <c r="D186" s="5" t="s">
        <v>814</v>
      </c>
      <c r="E186" s="6" t="s">
        <v>166</v>
      </c>
      <c r="F186" s="6" t="s">
        <v>495</v>
      </c>
      <c r="G186" s="20" t="s">
        <v>486</v>
      </c>
      <c r="H186" s="5" t="s">
        <v>507</v>
      </c>
    </row>
    <row r="187" customFormat="false" ht="16.5" hidden="false" customHeight="true" outlineLevel="0" collapsed="false">
      <c r="A187" s="5" t="s">
        <v>381</v>
      </c>
      <c r="B187" s="5" t="s">
        <v>385</v>
      </c>
      <c r="C187" s="5" t="s">
        <v>465</v>
      </c>
      <c r="D187" s="5" t="s">
        <v>815</v>
      </c>
      <c r="E187" s="6" t="s">
        <v>166</v>
      </c>
      <c r="F187" s="6" t="s">
        <v>489</v>
      </c>
      <c r="G187" s="20" t="s">
        <v>486</v>
      </c>
      <c r="H187" s="5" t="s">
        <v>516</v>
      </c>
    </row>
    <row r="188" customFormat="false" ht="16.5" hidden="false" customHeight="true" outlineLevel="0" collapsed="false">
      <c r="A188" s="5" t="s">
        <v>381</v>
      </c>
      <c r="B188" s="5" t="s">
        <v>385</v>
      </c>
      <c r="C188" s="5" t="s">
        <v>465</v>
      </c>
      <c r="D188" s="5" t="s">
        <v>816</v>
      </c>
      <c r="E188" s="6" t="s">
        <v>166</v>
      </c>
      <c r="F188" s="6" t="s">
        <v>485</v>
      </c>
      <c r="G188" s="20" t="s">
        <v>486</v>
      </c>
      <c r="H188" s="5" t="s">
        <v>730</v>
      </c>
    </row>
    <row r="189" customFormat="false" ht="16.5" hidden="false" customHeight="true" outlineLevel="0" collapsed="false">
      <c r="A189" s="40" t="s">
        <v>381</v>
      </c>
      <c r="B189" s="40" t="s">
        <v>385</v>
      </c>
      <c r="C189" s="40" t="s">
        <v>465</v>
      </c>
      <c r="D189" s="40" t="s">
        <v>817</v>
      </c>
      <c r="E189" s="41" t="s">
        <v>499</v>
      </c>
      <c r="F189" s="41" t="s">
        <v>504</v>
      </c>
      <c r="G189" s="24" t="s">
        <v>511</v>
      </c>
      <c r="H189" s="40" t="s">
        <v>818</v>
      </c>
    </row>
    <row r="190" customFormat="false" ht="16.5" hidden="false" customHeight="true" outlineLevel="0" collapsed="false">
      <c r="A190" s="5" t="s">
        <v>381</v>
      </c>
      <c r="B190" s="5" t="s">
        <v>385</v>
      </c>
      <c r="C190" s="5" t="s">
        <v>467</v>
      </c>
      <c r="D190" s="5" t="s">
        <v>819</v>
      </c>
      <c r="E190" s="6" t="s">
        <v>166</v>
      </c>
      <c r="F190" s="6" t="s">
        <v>485</v>
      </c>
      <c r="G190" s="20" t="s">
        <v>496</v>
      </c>
      <c r="H190" s="5" t="s">
        <v>711</v>
      </c>
    </row>
    <row r="191" customFormat="false" ht="16.5" hidden="false" customHeight="true" outlineLevel="0" collapsed="false">
      <c r="A191" s="5" t="s">
        <v>381</v>
      </c>
      <c r="B191" s="5" t="s">
        <v>385</v>
      </c>
      <c r="C191" s="5" t="s">
        <v>467</v>
      </c>
      <c r="D191" s="5" t="s">
        <v>820</v>
      </c>
      <c r="E191" s="6" t="s">
        <v>166</v>
      </c>
      <c r="F191" s="6" t="s">
        <v>485</v>
      </c>
      <c r="G191" s="20" t="s">
        <v>486</v>
      </c>
      <c r="H191" s="5" t="s">
        <v>807</v>
      </c>
    </row>
    <row r="192" customFormat="false" ht="16.5" hidden="false" customHeight="true" outlineLevel="0" collapsed="false">
      <c r="A192" s="5" t="s">
        <v>381</v>
      </c>
      <c r="B192" s="5" t="s">
        <v>385</v>
      </c>
      <c r="C192" s="5" t="s">
        <v>467</v>
      </c>
      <c r="D192" s="5" t="s">
        <v>821</v>
      </c>
      <c r="E192" s="6" t="s">
        <v>166</v>
      </c>
      <c r="F192" s="6" t="s">
        <v>557</v>
      </c>
      <c r="G192" s="20" t="s">
        <v>496</v>
      </c>
      <c r="H192" s="5" t="s">
        <v>703</v>
      </c>
    </row>
    <row r="193" customFormat="false" ht="16.5" hidden="false" customHeight="true" outlineLevel="0" collapsed="false">
      <c r="A193" s="5" t="s">
        <v>381</v>
      </c>
      <c r="B193" s="5" t="s">
        <v>385</v>
      </c>
      <c r="C193" s="5" t="s">
        <v>467</v>
      </c>
      <c r="D193" s="5" t="s">
        <v>822</v>
      </c>
      <c r="E193" s="6" t="s">
        <v>166</v>
      </c>
      <c r="F193" s="6" t="s">
        <v>489</v>
      </c>
      <c r="G193" s="20" t="s">
        <v>486</v>
      </c>
      <c r="H193" s="5" t="s">
        <v>592</v>
      </c>
    </row>
    <row r="194" customFormat="false" ht="16.5" hidden="false" customHeight="true" outlineLevel="0" collapsed="false">
      <c r="A194" s="40" t="s">
        <v>381</v>
      </c>
      <c r="B194" s="40" t="s">
        <v>385</v>
      </c>
      <c r="C194" s="40" t="s">
        <v>467</v>
      </c>
      <c r="D194" s="40" t="s">
        <v>823</v>
      </c>
      <c r="E194" s="41" t="s">
        <v>499</v>
      </c>
      <c r="F194" s="41" t="s">
        <v>557</v>
      </c>
      <c r="G194" s="24" t="s">
        <v>511</v>
      </c>
      <c r="H194" s="40" t="s">
        <v>711</v>
      </c>
    </row>
    <row r="195" customFormat="false" ht="16.5" hidden="false" customHeight="true" outlineLevel="0" collapsed="false">
      <c r="A195" s="5" t="s">
        <v>381</v>
      </c>
      <c r="B195" s="5" t="s">
        <v>385</v>
      </c>
      <c r="C195" s="5" t="s">
        <v>469</v>
      </c>
      <c r="D195" s="5" t="s">
        <v>824</v>
      </c>
      <c r="E195" s="6" t="s">
        <v>166</v>
      </c>
      <c r="F195" s="6" t="s">
        <v>525</v>
      </c>
      <c r="G195" s="20" t="s">
        <v>486</v>
      </c>
      <c r="H195" s="5" t="s">
        <v>602</v>
      </c>
    </row>
    <row r="196" customFormat="false" ht="16.5" hidden="false" customHeight="true" outlineLevel="0" collapsed="false">
      <c r="A196" s="5" t="s">
        <v>381</v>
      </c>
      <c r="B196" s="5" t="s">
        <v>385</v>
      </c>
      <c r="C196" s="5" t="s">
        <v>469</v>
      </c>
      <c r="D196" s="5" t="s">
        <v>825</v>
      </c>
      <c r="E196" s="6" t="s">
        <v>166</v>
      </c>
      <c r="F196" s="6" t="s">
        <v>533</v>
      </c>
      <c r="G196" s="20" t="s">
        <v>496</v>
      </c>
      <c r="H196" s="5" t="s">
        <v>826</v>
      </c>
    </row>
    <row r="197" customFormat="false" ht="16.5" hidden="false" customHeight="true" outlineLevel="0" collapsed="false">
      <c r="A197" s="5" t="s">
        <v>381</v>
      </c>
      <c r="B197" s="5" t="s">
        <v>385</v>
      </c>
      <c r="C197" s="5" t="s">
        <v>469</v>
      </c>
      <c r="D197" s="5" t="s">
        <v>827</v>
      </c>
      <c r="E197" s="6" t="s">
        <v>166</v>
      </c>
      <c r="F197" s="6" t="s">
        <v>533</v>
      </c>
      <c r="G197" s="20" t="s">
        <v>496</v>
      </c>
      <c r="H197" s="7" t="s">
        <v>518</v>
      </c>
    </row>
    <row r="198" customFormat="false" ht="16.5" hidden="false" customHeight="true" outlineLevel="0" collapsed="false">
      <c r="A198" s="5" t="s">
        <v>381</v>
      </c>
      <c r="B198" s="5" t="s">
        <v>385</v>
      </c>
      <c r="C198" s="5" t="s">
        <v>469</v>
      </c>
      <c r="D198" s="5" t="s">
        <v>828</v>
      </c>
      <c r="E198" s="6" t="s">
        <v>166</v>
      </c>
      <c r="F198" s="6" t="s">
        <v>525</v>
      </c>
      <c r="G198" s="20" t="s">
        <v>486</v>
      </c>
      <c r="H198" s="5" t="s">
        <v>792</v>
      </c>
    </row>
    <row r="199" customFormat="false" ht="16.5" hidden="false" customHeight="true" outlineLevel="0" collapsed="false">
      <c r="A199" s="40" t="s">
        <v>381</v>
      </c>
      <c r="B199" s="40" t="s">
        <v>385</v>
      </c>
      <c r="C199" s="40" t="s">
        <v>469</v>
      </c>
      <c r="D199" s="40" t="s">
        <v>829</v>
      </c>
      <c r="E199" s="41" t="s">
        <v>499</v>
      </c>
      <c r="F199" s="41" t="s">
        <v>533</v>
      </c>
      <c r="G199" s="24" t="s">
        <v>511</v>
      </c>
      <c r="H199" s="40" t="s">
        <v>830</v>
      </c>
    </row>
    <row r="200" customFormat="false" ht="16.5" hidden="false" customHeight="true" outlineLevel="0" collapsed="false">
      <c r="A200" s="5" t="s">
        <v>381</v>
      </c>
      <c r="B200" s="5" t="s">
        <v>387</v>
      </c>
      <c r="C200" s="5" t="s">
        <v>471</v>
      </c>
      <c r="D200" s="5" t="s">
        <v>831</v>
      </c>
      <c r="E200" s="6" t="s">
        <v>166</v>
      </c>
      <c r="F200" s="6" t="s">
        <v>557</v>
      </c>
      <c r="G200" s="20" t="s">
        <v>496</v>
      </c>
      <c r="H200" s="5" t="s">
        <v>832</v>
      </c>
    </row>
    <row r="201" customFormat="false" ht="16.5" hidden="false" customHeight="true" outlineLevel="0" collapsed="false">
      <c r="A201" s="5" t="s">
        <v>381</v>
      </c>
      <c r="B201" s="5" t="s">
        <v>387</v>
      </c>
      <c r="C201" s="5" t="s">
        <v>471</v>
      </c>
      <c r="D201" s="5" t="s">
        <v>833</v>
      </c>
      <c r="E201" s="6" t="s">
        <v>166</v>
      </c>
      <c r="F201" s="6" t="s">
        <v>504</v>
      </c>
      <c r="G201" s="20" t="s">
        <v>496</v>
      </c>
      <c r="H201" s="5" t="s">
        <v>834</v>
      </c>
    </row>
    <row r="202" customFormat="false" ht="16.5" hidden="false" customHeight="true" outlineLevel="0" collapsed="false">
      <c r="A202" s="5" t="s">
        <v>381</v>
      </c>
      <c r="B202" s="5" t="s">
        <v>387</v>
      </c>
      <c r="C202" s="5" t="s">
        <v>471</v>
      </c>
      <c r="D202" s="5" t="s">
        <v>835</v>
      </c>
      <c r="E202" s="6" t="s">
        <v>166</v>
      </c>
      <c r="F202" s="6" t="s">
        <v>557</v>
      </c>
      <c r="G202" s="20" t="s">
        <v>496</v>
      </c>
      <c r="H202" s="5" t="s">
        <v>836</v>
      </c>
    </row>
    <row r="203" customFormat="false" ht="32.25" hidden="false" customHeight="true" outlineLevel="0" collapsed="false">
      <c r="A203" s="5" t="s">
        <v>381</v>
      </c>
      <c r="B203" s="5" t="s">
        <v>387</v>
      </c>
      <c r="C203" s="5" t="s">
        <v>471</v>
      </c>
      <c r="D203" s="5" t="s">
        <v>837</v>
      </c>
      <c r="E203" s="6" t="s">
        <v>166</v>
      </c>
      <c r="F203" s="6" t="s">
        <v>557</v>
      </c>
      <c r="G203" s="20" t="s">
        <v>486</v>
      </c>
      <c r="H203" s="5" t="s">
        <v>838</v>
      </c>
    </row>
    <row r="204" customFormat="false" ht="16.5" hidden="false" customHeight="true" outlineLevel="0" collapsed="false">
      <c r="A204" s="40" t="s">
        <v>381</v>
      </c>
      <c r="B204" s="40" t="s">
        <v>387</v>
      </c>
      <c r="C204" s="40" t="s">
        <v>471</v>
      </c>
      <c r="D204" s="40" t="s">
        <v>839</v>
      </c>
      <c r="E204" s="41" t="s">
        <v>499</v>
      </c>
      <c r="F204" s="41" t="s">
        <v>557</v>
      </c>
      <c r="G204" s="24" t="s">
        <v>511</v>
      </c>
      <c r="H204" s="40" t="s">
        <v>840</v>
      </c>
    </row>
    <row r="205" customFormat="false" ht="16.5" hidden="false" customHeight="true" outlineLevel="0" collapsed="false">
      <c r="A205" s="5" t="s">
        <v>381</v>
      </c>
      <c r="B205" s="5" t="s">
        <v>387</v>
      </c>
      <c r="C205" s="5" t="s">
        <v>473</v>
      </c>
      <c r="D205" s="5" t="s">
        <v>841</v>
      </c>
      <c r="E205" s="6" t="s">
        <v>166</v>
      </c>
      <c r="F205" s="6" t="s">
        <v>533</v>
      </c>
      <c r="G205" s="20" t="s">
        <v>496</v>
      </c>
      <c r="H205" s="5" t="s">
        <v>618</v>
      </c>
    </row>
    <row r="206" customFormat="false" ht="16.5" hidden="false" customHeight="true" outlineLevel="0" collapsed="false">
      <c r="A206" s="5" t="s">
        <v>381</v>
      </c>
      <c r="B206" s="5" t="s">
        <v>387</v>
      </c>
      <c r="C206" s="5" t="s">
        <v>473</v>
      </c>
      <c r="D206" s="5" t="s">
        <v>842</v>
      </c>
      <c r="E206" s="6" t="s">
        <v>166</v>
      </c>
      <c r="F206" s="6" t="s">
        <v>533</v>
      </c>
      <c r="G206" s="20" t="s">
        <v>496</v>
      </c>
      <c r="H206" s="5" t="s">
        <v>620</v>
      </c>
    </row>
    <row r="207" customFormat="false" ht="16.5" hidden="false" customHeight="true" outlineLevel="0" collapsed="false">
      <c r="A207" s="5" t="s">
        <v>381</v>
      </c>
      <c r="B207" s="5" t="s">
        <v>387</v>
      </c>
      <c r="C207" s="5" t="s">
        <v>473</v>
      </c>
      <c r="D207" s="5" t="s">
        <v>843</v>
      </c>
      <c r="E207" s="6" t="s">
        <v>166</v>
      </c>
      <c r="F207" s="6" t="s">
        <v>525</v>
      </c>
      <c r="G207" s="20" t="s">
        <v>496</v>
      </c>
      <c r="H207" s="5" t="s">
        <v>844</v>
      </c>
    </row>
    <row r="208" customFormat="false" ht="16.5" hidden="false" customHeight="true" outlineLevel="0" collapsed="false">
      <c r="A208" s="5" t="s">
        <v>381</v>
      </c>
      <c r="B208" s="5" t="s">
        <v>387</v>
      </c>
      <c r="C208" s="5" t="s">
        <v>473</v>
      </c>
      <c r="D208" s="5" t="s">
        <v>845</v>
      </c>
      <c r="E208" s="6" t="s">
        <v>166</v>
      </c>
      <c r="F208" s="6" t="s">
        <v>557</v>
      </c>
      <c r="G208" s="20" t="s">
        <v>496</v>
      </c>
      <c r="H208" s="5" t="s">
        <v>703</v>
      </c>
    </row>
    <row r="209" customFormat="false" ht="16.5" hidden="false" customHeight="true" outlineLevel="0" collapsed="false">
      <c r="A209" s="40" t="s">
        <v>381</v>
      </c>
      <c r="B209" s="40" t="s">
        <v>387</v>
      </c>
      <c r="C209" s="40" t="s">
        <v>473</v>
      </c>
      <c r="D209" s="40" t="s">
        <v>846</v>
      </c>
      <c r="E209" s="41" t="s">
        <v>499</v>
      </c>
      <c r="F209" s="41" t="s">
        <v>533</v>
      </c>
      <c r="G209" s="24" t="s">
        <v>511</v>
      </c>
      <c r="H209" s="40" t="s">
        <v>803</v>
      </c>
    </row>
    <row r="210" customFormat="false" ht="16.5" hidden="false" customHeight="true" outlineLevel="0" collapsed="false">
      <c r="A210" s="5" t="s">
        <v>381</v>
      </c>
      <c r="B210" s="5" t="s">
        <v>387</v>
      </c>
      <c r="C210" s="5" t="s">
        <v>475</v>
      </c>
      <c r="D210" s="5" t="s">
        <v>847</v>
      </c>
      <c r="E210" s="6" t="s">
        <v>166</v>
      </c>
      <c r="F210" s="6" t="s">
        <v>489</v>
      </c>
      <c r="G210" s="20" t="s">
        <v>496</v>
      </c>
      <c r="H210" s="5" t="s">
        <v>848</v>
      </c>
    </row>
    <row r="211" customFormat="false" ht="16.5" hidden="false" customHeight="true" outlineLevel="0" collapsed="false">
      <c r="A211" s="5" t="s">
        <v>381</v>
      </c>
      <c r="B211" s="5" t="s">
        <v>387</v>
      </c>
      <c r="C211" s="5" t="s">
        <v>475</v>
      </c>
      <c r="D211" s="5" t="s">
        <v>849</v>
      </c>
      <c r="E211" s="6" t="s">
        <v>166</v>
      </c>
      <c r="F211" s="6" t="s">
        <v>557</v>
      </c>
      <c r="G211" s="20" t="s">
        <v>511</v>
      </c>
      <c r="H211" s="5" t="s">
        <v>850</v>
      </c>
    </row>
    <row r="212" customFormat="false" ht="16.5" hidden="false" customHeight="true" outlineLevel="0" collapsed="false">
      <c r="A212" s="5" t="s">
        <v>381</v>
      </c>
      <c r="B212" s="5" t="s">
        <v>387</v>
      </c>
      <c r="C212" s="5" t="s">
        <v>475</v>
      </c>
      <c r="D212" s="5" t="s">
        <v>851</v>
      </c>
      <c r="E212" s="6" t="s">
        <v>166</v>
      </c>
      <c r="F212" s="6" t="s">
        <v>485</v>
      </c>
      <c r="G212" s="20" t="s">
        <v>511</v>
      </c>
      <c r="H212" s="5" t="s">
        <v>500</v>
      </c>
    </row>
    <row r="213" customFormat="false" ht="16.5" hidden="false" customHeight="true" outlineLevel="0" collapsed="false">
      <c r="A213" s="5" t="s">
        <v>381</v>
      </c>
      <c r="B213" s="5" t="s">
        <v>387</v>
      </c>
      <c r="C213" s="5" t="s">
        <v>475</v>
      </c>
      <c r="D213" s="5" t="s">
        <v>852</v>
      </c>
      <c r="E213" s="6" t="s">
        <v>166</v>
      </c>
      <c r="F213" s="6" t="s">
        <v>489</v>
      </c>
      <c r="G213" s="6" t="s">
        <v>490</v>
      </c>
      <c r="H213" s="7" t="s">
        <v>675</v>
      </c>
    </row>
    <row r="214" customFormat="false" ht="16.5" hidden="false" customHeight="true" outlineLevel="0" collapsed="false">
      <c r="A214" s="40" t="s">
        <v>381</v>
      </c>
      <c r="B214" s="40" t="s">
        <v>387</v>
      </c>
      <c r="C214" s="40" t="s">
        <v>475</v>
      </c>
      <c r="D214" s="40" t="s">
        <v>853</v>
      </c>
      <c r="E214" s="41" t="s">
        <v>499</v>
      </c>
      <c r="F214" s="41" t="s">
        <v>557</v>
      </c>
      <c r="G214" s="24" t="s">
        <v>650</v>
      </c>
      <c r="H214" s="40" t="s">
        <v>854</v>
      </c>
    </row>
    <row r="216" customFormat="false" ht="15" hidden="false" customHeight="true" outlineLevel="0" collapsed="false">
      <c r="A216" s="42" t="s">
        <v>855</v>
      </c>
      <c r="B216" s="43" t="n">
        <f aca="false">COUNTA(D5:D214)</f>
        <v>210</v>
      </c>
    </row>
    <row r="217" customFormat="false" ht="15" hidden="false" customHeight="true" outlineLevel="0" collapsed="false">
      <c r="A217" s="42" t="s">
        <v>856</v>
      </c>
      <c r="B217" s="43" t="n">
        <f aca="false">COUNTIF(E5:E214,"レア")</f>
        <v>42</v>
      </c>
    </row>
  </sheetData>
  <autoFilter ref="A4:H2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857</v>
      </c>
    </row>
    <row r="2" customFormat="false" ht="15" hidden="false" customHeight="true" outlineLevel="0" collapsed="false">
      <c r="A2" s="3" t="s">
        <v>858</v>
      </c>
    </row>
    <row r="4" customFormat="false" ht="16.5" hidden="false" customHeight="true" outlineLevel="0" collapsed="false">
      <c r="A4" s="4" t="s">
        <v>161</v>
      </c>
      <c r="B4" s="4" t="s">
        <v>859</v>
      </c>
      <c r="C4" s="4" t="s">
        <v>860</v>
      </c>
    </row>
    <row r="5" customFormat="false" ht="16.5" hidden="false" customHeight="true" outlineLevel="0" collapsed="false">
      <c r="A5" s="5" t="s">
        <v>861</v>
      </c>
      <c r="B5" s="5" t="s">
        <v>862</v>
      </c>
      <c r="C5" s="5" t="s">
        <v>863</v>
      </c>
    </row>
    <row r="6" customFormat="false" ht="16.5" hidden="false" customHeight="true" outlineLevel="0" collapsed="false">
      <c r="A6" s="5" t="s">
        <v>861</v>
      </c>
      <c r="B6" s="5" t="s">
        <v>864</v>
      </c>
      <c r="C6" s="5" t="s">
        <v>865</v>
      </c>
    </row>
    <row r="7" customFormat="false" ht="16.5" hidden="false" customHeight="true" outlineLevel="0" collapsed="false">
      <c r="A7" s="5" t="s">
        <v>861</v>
      </c>
      <c r="B7" s="7" t="s">
        <v>866</v>
      </c>
      <c r="C7" s="5" t="s">
        <v>867</v>
      </c>
    </row>
    <row r="8" customFormat="false" ht="16.5" hidden="false" customHeight="true" outlineLevel="0" collapsed="false">
      <c r="A8" s="5" t="s">
        <v>861</v>
      </c>
      <c r="B8" s="7" t="s">
        <v>868</v>
      </c>
      <c r="C8" s="7" t="s">
        <v>869</v>
      </c>
    </row>
    <row r="9" customFormat="false" ht="16.5" hidden="false" customHeight="true" outlineLevel="0" collapsed="false">
      <c r="A9" s="5" t="s">
        <v>861</v>
      </c>
      <c r="B9" s="5" t="s">
        <v>612</v>
      </c>
      <c r="C9" s="5" t="s">
        <v>870</v>
      </c>
    </row>
    <row r="10" customFormat="false" ht="16.5" hidden="false" customHeight="true" outlineLevel="0" collapsed="false">
      <c r="A10" s="5" t="s">
        <v>861</v>
      </c>
      <c r="B10" s="5" t="s">
        <v>871</v>
      </c>
      <c r="C10" s="5" t="s">
        <v>872</v>
      </c>
    </row>
    <row r="11" customFormat="false" ht="16.5" hidden="false" customHeight="true" outlineLevel="0" collapsed="false">
      <c r="A11" s="5" t="s">
        <v>861</v>
      </c>
      <c r="B11" s="5" t="s">
        <v>873</v>
      </c>
      <c r="C11" s="5" t="s">
        <v>874</v>
      </c>
    </row>
    <row r="12" customFormat="false" ht="16.5" hidden="false" customHeight="true" outlineLevel="0" collapsed="false">
      <c r="A12" s="5" t="s">
        <v>861</v>
      </c>
      <c r="B12" s="5" t="s">
        <v>875</v>
      </c>
      <c r="C12" s="7"/>
    </row>
    <row r="13" customFormat="false" ht="16.5" hidden="false" customHeight="true" outlineLevel="0" collapsed="false">
      <c r="A13" s="5" t="s">
        <v>861</v>
      </c>
      <c r="B13" s="5" t="s">
        <v>876</v>
      </c>
      <c r="C13" s="7" t="s">
        <v>877</v>
      </c>
    </row>
    <row r="14" customFormat="false" ht="16.5" hidden="false" customHeight="true" outlineLevel="0" collapsed="false">
      <c r="A14" s="5" t="s">
        <v>861</v>
      </c>
      <c r="B14" s="5" t="s">
        <v>878</v>
      </c>
      <c r="C14" s="5" t="s">
        <v>879</v>
      </c>
    </row>
    <row r="15" customFormat="false" ht="16.5" hidden="false" customHeight="true" outlineLevel="0" collapsed="false">
      <c r="A15" s="5" t="s">
        <v>861</v>
      </c>
      <c r="B15" s="5" t="s">
        <v>880</v>
      </c>
      <c r="C15" s="5" t="s">
        <v>881</v>
      </c>
    </row>
    <row r="16" customFormat="false" ht="16.5" hidden="false" customHeight="true" outlineLevel="0" collapsed="false">
      <c r="A16" s="5" t="s">
        <v>861</v>
      </c>
      <c r="B16" s="5" t="s">
        <v>882</v>
      </c>
      <c r="C16" s="5" t="s">
        <v>883</v>
      </c>
    </row>
    <row r="17" customFormat="false" ht="32.25" hidden="false" customHeight="true" outlineLevel="0" collapsed="false">
      <c r="A17" s="5" t="s">
        <v>481</v>
      </c>
      <c r="B17" s="5" t="s">
        <v>884</v>
      </c>
      <c r="C17" s="7"/>
    </row>
    <row r="18" customFormat="false" ht="32.25" hidden="false" customHeight="true" outlineLevel="0" collapsed="false">
      <c r="A18" s="5" t="s">
        <v>482</v>
      </c>
      <c r="B18" s="7" t="s">
        <v>885</v>
      </c>
      <c r="C18" s="7"/>
    </row>
    <row r="19" customFormat="false" ht="16.5" hidden="false" customHeight="true" outlineLevel="0" collapsed="false">
      <c r="A19" s="5" t="s">
        <v>886</v>
      </c>
      <c r="B19" s="5" t="s">
        <v>887</v>
      </c>
      <c r="C19" s="7" t="s">
        <v>888</v>
      </c>
    </row>
    <row r="20" customFormat="false" ht="16.5" hidden="false" customHeight="true" outlineLevel="0" collapsed="false">
      <c r="A20" s="5" t="s">
        <v>886</v>
      </c>
      <c r="B20" s="5" t="s">
        <v>889</v>
      </c>
      <c r="C20" s="7" t="s">
        <v>890</v>
      </c>
    </row>
    <row r="21" customFormat="false" ht="16.5" hidden="false" customHeight="true" outlineLevel="0" collapsed="false">
      <c r="A21" s="5" t="s">
        <v>886</v>
      </c>
      <c r="B21" s="5" t="s">
        <v>891</v>
      </c>
      <c r="C21" s="7" t="s">
        <v>892</v>
      </c>
    </row>
    <row r="22" customFormat="false" ht="16.5" hidden="false" customHeight="true" outlineLevel="0" collapsed="false">
      <c r="A22" s="5" t="s">
        <v>886</v>
      </c>
      <c r="B22" s="5" t="s">
        <v>893</v>
      </c>
      <c r="C22" s="7"/>
    </row>
    <row r="23" customFormat="false" ht="16.5" hidden="false" customHeight="true" outlineLevel="0" collapsed="false">
      <c r="A23" s="5" t="s">
        <v>886</v>
      </c>
      <c r="B23" s="5" t="s">
        <v>524</v>
      </c>
      <c r="C23" s="5" t="s">
        <v>894</v>
      </c>
    </row>
    <row r="24" customFormat="false" ht="16.5" hidden="false" customHeight="true" outlineLevel="0" collapsed="false">
      <c r="A24" s="5" t="s">
        <v>886</v>
      </c>
      <c r="B24" s="5" t="s">
        <v>527</v>
      </c>
      <c r="C24" s="5" t="s">
        <v>895</v>
      </c>
    </row>
    <row r="25" customFormat="false" ht="16.5" hidden="false" customHeight="true" outlineLevel="0" collapsed="false">
      <c r="A25" s="5" t="s">
        <v>886</v>
      </c>
      <c r="B25" s="5" t="s">
        <v>896</v>
      </c>
      <c r="C25" s="5" t="s">
        <v>897</v>
      </c>
    </row>
    <row r="26" customFormat="false" ht="16.5" hidden="false" customHeight="true" outlineLevel="0" collapsed="false">
      <c r="A26" s="5" t="s">
        <v>886</v>
      </c>
      <c r="B26" s="5" t="s">
        <v>898</v>
      </c>
      <c r="C26" s="5" t="s">
        <v>899</v>
      </c>
    </row>
    <row r="27" customFormat="false" ht="16.5" hidden="false" customHeight="true" outlineLevel="0" collapsed="false">
      <c r="A27" s="5" t="s">
        <v>886</v>
      </c>
      <c r="B27" s="5" t="s">
        <v>900</v>
      </c>
      <c r="C27" s="5" t="s">
        <v>901</v>
      </c>
    </row>
    <row r="28" customFormat="false" ht="48" hidden="false" customHeight="true" outlineLevel="0" collapsed="false">
      <c r="A28" s="5" t="s">
        <v>902</v>
      </c>
      <c r="B28" s="5" t="s">
        <v>903</v>
      </c>
      <c r="C28" s="5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0"/>
  </cols>
  <sheetData>
    <row r="1" customFormat="false" ht="17.25" hidden="false" customHeight="true" outlineLevel="0" collapsed="false">
      <c r="A1" s="2" t="s">
        <v>905</v>
      </c>
    </row>
    <row r="2" customFormat="false" ht="15" hidden="false" customHeight="true" outlineLevel="0" collapsed="false">
      <c r="A2" s="3" t="s">
        <v>906</v>
      </c>
    </row>
    <row r="4" customFormat="false" ht="16.5" hidden="false" customHeight="true" outlineLevel="0" collapsed="false">
      <c r="A4" s="4" t="s">
        <v>78</v>
      </c>
      <c r="B4" s="4" t="s">
        <v>861</v>
      </c>
    </row>
    <row r="5" customFormat="false" ht="16.5" hidden="false" customHeight="true" outlineLevel="0" collapsed="false">
      <c r="A5" s="5" t="s">
        <v>688</v>
      </c>
      <c r="B5" s="5" t="s">
        <v>907</v>
      </c>
    </row>
    <row r="6" customFormat="false" ht="16.5" hidden="false" customHeight="true" outlineLevel="0" collapsed="false">
      <c r="A6" s="5" t="s">
        <v>653</v>
      </c>
      <c r="B6" s="5" t="s">
        <v>908</v>
      </c>
    </row>
    <row r="7" customFormat="false" ht="16.5" hidden="false" customHeight="true" outlineLevel="0" collapsed="false">
      <c r="A7" s="5" t="s">
        <v>711</v>
      </c>
      <c r="B7" s="5" t="s">
        <v>909</v>
      </c>
    </row>
    <row r="8" customFormat="false" ht="16.5" hidden="false" customHeight="true" outlineLevel="0" collapsed="false">
      <c r="A8" s="5" t="s">
        <v>713</v>
      </c>
      <c r="B8" s="7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7"/>
    <col collapsed="false" customWidth="true" hidden="false" outlineLevel="0" max="4" min="4" style="1" width="48"/>
    <col collapsed="false" customWidth="true" hidden="false" outlineLevel="0" max="5" min="5" style="1" width="30"/>
    <col collapsed="false" customWidth="true" hidden="false" outlineLevel="0" max="6" min="6" style="1" width="36"/>
  </cols>
  <sheetData>
    <row r="1" customFormat="false" ht="17.25" hidden="false" customHeight="true" outlineLevel="0" collapsed="false">
      <c r="A1" s="2" t="s">
        <v>911</v>
      </c>
    </row>
    <row r="2" customFormat="false" ht="15" hidden="false" customHeight="true" outlineLevel="0" collapsed="false">
      <c r="A2" s="3" t="s">
        <v>912</v>
      </c>
    </row>
    <row r="4" customFormat="false" ht="48" hidden="false" customHeight="true" outlineLevel="0" collapsed="false">
      <c r="A4" s="4" t="s">
        <v>2</v>
      </c>
      <c r="B4" s="4" t="s">
        <v>162</v>
      </c>
      <c r="C4" s="4" t="s">
        <v>480</v>
      </c>
      <c r="D4" s="4" t="s">
        <v>861</v>
      </c>
      <c r="E4" s="4" t="s">
        <v>913</v>
      </c>
      <c r="F4" s="4" t="s">
        <v>914</v>
      </c>
    </row>
    <row r="5" customFormat="false" ht="32.25" hidden="false" customHeight="true" outlineLevel="0" collapsed="false">
      <c r="A5" s="5" t="s">
        <v>915</v>
      </c>
      <c r="B5" s="5" t="s">
        <v>916</v>
      </c>
      <c r="C5" s="6" t="s">
        <v>166</v>
      </c>
      <c r="D5" s="5" t="s">
        <v>917</v>
      </c>
      <c r="E5" s="5" t="s">
        <v>918</v>
      </c>
      <c r="F5" s="5" t="s">
        <v>919</v>
      </c>
    </row>
    <row r="6" customFormat="false" ht="32.25" hidden="false" customHeight="true" outlineLevel="0" collapsed="false">
      <c r="A6" s="5" t="s">
        <v>915</v>
      </c>
      <c r="B6" s="5" t="s">
        <v>920</v>
      </c>
      <c r="C6" s="6" t="s">
        <v>166</v>
      </c>
      <c r="D6" s="5" t="s">
        <v>921</v>
      </c>
      <c r="E6" s="5" t="s">
        <v>922</v>
      </c>
      <c r="F6" s="5" t="s">
        <v>923</v>
      </c>
    </row>
    <row r="7" customFormat="false" ht="32.25" hidden="false" customHeight="true" outlineLevel="0" collapsed="false">
      <c r="A7" s="5" t="s">
        <v>915</v>
      </c>
      <c r="B7" s="5" t="s">
        <v>924</v>
      </c>
      <c r="C7" s="6" t="s">
        <v>166</v>
      </c>
      <c r="D7" s="5" t="s">
        <v>925</v>
      </c>
      <c r="E7" s="7" t="s">
        <v>926</v>
      </c>
      <c r="F7" s="5" t="s">
        <v>927</v>
      </c>
    </row>
    <row r="8" customFormat="false" ht="32.25" hidden="false" customHeight="true" outlineLevel="0" collapsed="false">
      <c r="A8" s="5" t="s">
        <v>915</v>
      </c>
      <c r="B8" s="5" t="s">
        <v>928</v>
      </c>
      <c r="C8" s="6" t="s">
        <v>166</v>
      </c>
      <c r="D8" s="5" t="s">
        <v>929</v>
      </c>
      <c r="E8" s="5" t="s">
        <v>930</v>
      </c>
      <c r="F8" s="5" t="s">
        <v>931</v>
      </c>
    </row>
    <row r="9" customFormat="false" ht="32.25" hidden="false" customHeight="true" outlineLevel="0" collapsed="false">
      <c r="A9" s="40" t="s">
        <v>915</v>
      </c>
      <c r="B9" s="40" t="s">
        <v>932</v>
      </c>
      <c r="C9" s="41" t="s">
        <v>499</v>
      </c>
      <c r="D9" s="40" t="s">
        <v>933</v>
      </c>
      <c r="E9" s="27" t="s">
        <v>934</v>
      </c>
      <c r="F9" s="40" t="s">
        <v>935</v>
      </c>
    </row>
    <row r="10" customFormat="false" ht="32.25" hidden="false" customHeight="true" outlineLevel="0" collapsed="false">
      <c r="A10" s="5" t="s">
        <v>936</v>
      </c>
      <c r="B10" s="5" t="s">
        <v>937</v>
      </c>
      <c r="C10" s="6" t="s">
        <v>166</v>
      </c>
      <c r="D10" s="7" t="s">
        <v>938</v>
      </c>
      <c r="E10" s="7" t="s">
        <v>104</v>
      </c>
      <c r="F10" s="5" t="s">
        <v>939</v>
      </c>
    </row>
    <row r="11" customFormat="false" ht="32.25" hidden="false" customHeight="true" outlineLevel="0" collapsed="false">
      <c r="A11" s="5" t="s">
        <v>936</v>
      </c>
      <c r="B11" s="5" t="s">
        <v>940</v>
      </c>
      <c r="C11" s="6" t="s">
        <v>166</v>
      </c>
      <c r="D11" s="7" t="s">
        <v>941</v>
      </c>
      <c r="E11" s="5" t="s">
        <v>942</v>
      </c>
      <c r="F11" s="5" t="s">
        <v>943</v>
      </c>
    </row>
    <row r="12" customFormat="false" ht="32.25" hidden="false" customHeight="true" outlineLevel="0" collapsed="false">
      <c r="A12" s="5" t="s">
        <v>936</v>
      </c>
      <c r="B12" s="5" t="s">
        <v>944</v>
      </c>
      <c r="C12" s="6" t="s">
        <v>166</v>
      </c>
      <c r="D12" s="7" t="s">
        <v>945</v>
      </c>
      <c r="E12" s="7" t="s">
        <v>104</v>
      </c>
      <c r="F12" s="5" t="s">
        <v>946</v>
      </c>
    </row>
    <row r="13" customFormat="false" ht="32.25" hidden="false" customHeight="true" outlineLevel="0" collapsed="false">
      <c r="A13" s="5" t="s">
        <v>936</v>
      </c>
      <c r="B13" s="5" t="s">
        <v>947</v>
      </c>
      <c r="C13" s="6" t="s">
        <v>166</v>
      </c>
      <c r="D13" s="5" t="s">
        <v>948</v>
      </c>
      <c r="E13" s="7" t="s">
        <v>104</v>
      </c>
      <c r="F13" s="5" t="s">
        <v>949</v>
      </c>
    </row>
    <row r="14" customFormat="false" ht="32.25" hidden="false" customHeight="true" outlineLevel="0" collapsed="false">
      <c r="A14" s="40" t="s">
        <v>936</v>
      </c>
      <c r="B14" s="40" t="s">
        <v>950</v>
      </c>
      <c r="C14" s="41" t="s">
        <v>499</v>
      </c>
      <c r="D14" s="27" t="s">
        <v>951</v>
      </c>
      <c r="E14" s="40" t="s">
        <v>952</v>
      </c>
      <c r="F14" s="40" t="s">
        <v>953</v>
      </c>
    </row>
    <row r="15" customFormat="false" ht="16.5" hidden="false" customHeight="true" outlineLevel="0" collapsed="false">
      <c r="A15" s="5" t="s">
        <v>954</v>
      </c>
      <c r="B15" s="5" t="s">
        <v>955</v>
      </c>
      <c r="C15" s="6" t="s">
        <v>166</v>
      </c>
      <c r="D15" s="7" t="s">
        <v>956</v>
      </c>
      <c r="E15" s="7" t="s">
        <v>104</v>
      </c>
      <c r="F15" s="5" t="s">
        <v>957</v>
      </c>
    </row>
    <row r="16" customFormat="false" ht="16.5" hidden="false" customHeight="true" outlineLevel="0" collapsed="false">
      <c r="A16" s="5" t="s">
        <v>954</v>
      </c>
      <c r="B16" s="5" t="s">
        <v>958</v>
      </c>
      <c r="C16" s="6" t="s">
        <v>166</v>
      </c>
      <c r="D16" s="7" t="s">
        <v>959</v>
      </c>
      <c r="E16" s="7" t="s">
        <v>104</v>
      </c>
      <c r="F16" s="5" t="s">
        <v>960</v>
      </c>
    </row>
    <row r="17" customFormat="false" ht="32.25" hidden="false" customHeight="true" outlineLevel="0" collapsed="false">
      <c r="A17" s="5" t="s">
        <v>954</v>
      </c>
      <c r="B17" s="5" t="s">
        <v>961</v>
      </c>
      <c r="C17" s="6" t="s">
        <v>166</v>
      </c>
      <c r="D17" s="5" t="s">
        <v>962</v>
      </c>
      <c r="E17" s="7" t="s">
        <v>104</v>
      </c>
      <c r="F17" s="5" t="s">
        <v>963</v>
      </c>
    </row>
    <row r="18" customFormat="false" ht="16.5" hidden="false" customHeight="true" outlineLevel="0" collapsed="false">
      <c r="A18" s="5" t="s">
        <v>954</v>
      </c>
      <c r="B18" s="5" t="s">
        <v>964</v>
      </c>
      <c r="C18" s="6" t="s">
        <v>166</v>
      </c>
      <c r="D18" s="5" t="s">
        <v>965</v>
      </c>
      <c r="E18" s="7" t="s">
        <v>104</v>
      </c>
      <c r="F18" s="5" t="s">
        <v>966</v>
      </c>
    </row>
    <row r="19" customFormat="false" ht="16.5" hidden="false" customHeight="true" outlineLevel="0" collapsed="false">
      <c r="A19" s="5" t="s">
        <v>954</v>
      </c>
      <c r="B19" s="5" t="s">
        <v>967</v>
      </c>
      <c r="C19" s="6" t="s">
        <v>166</v>
      </c>
      <c r="D19" s="5" t="s">
        <v>968</v>
      </c>
      <c r="E19" s="7" t="s">
        <v>104</v>
      </c>
      <c r="F19" s="5" t="s">
        <v>969</v>
      </c>
    </row>
    <row r="20" customFormat="false" ht="16.5" hidden="false" customHeight="true" outlineLevel="0" collapsed="false">
      <c r="A20" s="5" t="s">
        <v>954</v>
      </c>
      <c r="B20" s="5" t="s">
        <v>970</v>
      </c>
      <c r="C20" s="6" t="s">
        <v>166</v>
      </c>
      <c r="D20" s="5" t="s">
        <v>971</v>
      </c>
      <c r="E20" s="7" t="s">
        <v>104</v>
      </c>
      <c r="F20" s="5" t="s">
        <v>949</v>
      </c>
    </row>
    <row r="21" customFormat="false" ht="32.25" hidden="false" customHeight="true" outlineLevel="0" collapsed="false">
      <c r="A21" s="5" t="s">
        <v>954</v>
      </c>
      <c r="B21" s="5" t="s">
        <v>972</v>
      </c>
      <c r="C21" s="6" t="s">
        <v>166</v>
      </c>
      <c r="D21" s="5" t="s">
        <v>973</v>
      </c>
      <c r="E21" s="7" t="s">
        <v>104</v>
      </c>
      <c r="F21" s="7" t="s">
        <v>974</v>
      </c>
    </row>
    <row r="22" customFormat="false" ht="32.25" hidden="false" customHeight="true" outlineLevel="0" collapsed="false">
      <c r="A22" s="40" t="s">
        <v>954</v>
      </c>
      <c r="B22" s="40" t="s">
        <v>975</v>
      </c>
      <c r="C22" s="41" t="s">
        <v>499</v>
      </c>
      <c r="D22" s="40" t="s">
        <v>976</v>
      </c>
      <c r="E22" s="27" t="s">
        <v>104</v>
      </c>
      <c r="F22" s="40" t="s">
        <v>949</v>
      </c>
    </row>
    <row r="23" customFormat="false" ht="16.5" hidden="false" customHeight="true" outlineLevel="0" collapsed="false">
      <c r="A23" s="5" t="s">
        <v>78</v>
      </c>
      <c r="B23" s="5" t="s">
        <v>977</v>
      </c>
      <c r="C23" s="6" t="s">
        <v>166</v>
      </c>
      <c r="D23" s="5" t="s">
        <v>978</v>
      </c>
      <c r="E23" s="7" t="s">
        <v>104</v>
      </c>
      <c r="F23" s="5" t="s">
        <v>979</v>
      </c>
    </row>
    <row r="24" customFormat="false" ht="16.5" hidden="false" customHeight="true" outlineLevel="0" collapsed="false">
      <c r="A24" s="5" t="s">
        <v>78</v>
      </c>
      <c r="B24" s="5" t="s">
        <v>980</v>
      </c>
      <c r="C24" s="6" t="s">
        <v>166</v>
      </c>
      <c r="D24" s="5" t="s">
        <v>981</v>
      </c>
      <c r="E24" s="7" t="s">
        <v>104</v>
      </c>
      <c r="F24" s="5" t="s">
        <v>982</v>
      </c>
    </row>
    <row r="25" customFormat="false" ht="16.5" hidden="false" customHeight="true" outlineLevel="0" collapsed="false">
      <c r="A25" s="5" t="s">
        <v>78</v>
      </c>
      <c r="B25" s="5" t="s">
        <v>983</v>
      </c>
      <c r="C25" s="6" t="s">
        <v>166</v>
      </c>
      <c r="D25" s="5" t="s">
        <v>984</v>
      </c>
      <c r="E25" s="7" t="s">
        <v>104</v>
      </c>
      <c r="F25" s="5" t="s">
        <v>985</v>
      </c>
    </row>
    <row r="26" customFormat="false" ht="16.5" hidden="false" customHeight="true" outlineLevel="0" collapsed="false">
      <c r="A26" s="5" t="s">
        <v>78</v>
      </c>
      <c r="B26" s="5" t="s">
        <v>986</v>
      </c>
      <c r="C26" s="6" t="s">
        <v>166</v>
      </c>
      <c r="D26" s="5" t="s">
        <v>987</v>
      </c>
      <c r="E26" s="7" t="s">
        <v>104</v>
      </c>
      <c r="F26" s="5" t="s">
        <v>988</v>
      </c>
    </row>
    <row r="27" customFormat="false" ht="16.5" hidden="false" customHeight="true" outlineLevel="0" collapsed="false">
      <c r="A27" s="40" t="s">
        <v>78</v>
      </c>
      <c r="B27" s="40" t="s">
        <v>989</v>
      </c>
      <c r="C27" s="41" t="s">
        <v>499</v>
      </c>
      <c r="D27" s="40" t="s">
        <v>990</v>
      </c>
      <c r="E27" s="27" t="s">
        <v>104</v>
      </c>
      <c r="F27" s="40" t="s">
        <v>991</v>
      </c>
    </row>
    <row r="28" customFormat="false" ht="16.5" hidden="false" customHeight="true" outlineLevel="0" collapsed="false">
      <c r="A28" s="5" t="s">
        <v>78</v>
      </c>
      <c r="B28" s="5" t="s">
        <v>992</v>
      </c>
      <c r="C28" s="6" t="s">
        <v>166</v>
      </c>
      <c r="D28" s="5" t="s">
        <v>792</v>
      </c>
      <c r="E28" s="5" t="s">
        <v>993</v>
      </c>
      <c r="F28" s="5" t="s">
        <v>994</v>
      </c>
    </row>
    <row r="29" customFormat="false" ht="16.5" hidden="false" customHeight="true" outlineLevel="0" collapsed="false">
      <c r="A29" s="5" t="s">
        <v>78</v>
      </c>
      <c r="B29" s="5" t="s">
        <v>995</v>
      </c>
      <c r="C29" s="6" t="s">
        <v>166</v>
      </c>
      <c r="D29" s="5" t="s">
        <v>996</v>
      </c>
      <c r="E29" s="7" t="s">
        <v>104</v>
      </c>
      <c r="F29" s="5" t="s">
        <v>997</v>
      </c>
    </row>
    <row r="30" customFormat="false" ht="16.5" hidden="false" customHeight="true" outlineLevel="0" collapsed="false">
      <c r="A30" s="5" t="s">
        <v>78</v>
      </c>
      <c r="B30" s="5" t="s">
        <v>998</v>
      </c>
      <c r="C30" s="6" t="s">
        <v>166</v>
      </c>
      <c r="D30" s="5" t="s">
        <v>999</v>
      </c>
      <c r="E30" s="7" t="s">
        <v>104</v>
      </c>
      <c r="F30" s="5" t="s">
        <v>949</v>
      </c>
    </row>
    <row r="31" customFormat="false" ht="16.5" hidden="false" customHeight="true" outlineLevel="0" collapsed="false">
      <c r="A31" s="5" t="s">
        <v>78</v>
      </c>
      <c r="B31" s="5" t="s">
        <v>1000</v>
      </c>
      <c r="C31" s="6" t="s">
        <v>166</v>
      </c>
      <c r="D31" s="5" t="s">
        <v>299</v>
      </c>
      <c r="E31" s="7" t="s">
        <v>104</v>
      </c>
      <c r="F31" s="5" t="s">
        <v>949</v>
      </c>
    </row>
    <row r="32" customFormat="false" ht="32.25" hidden="false" customHeight="true" outlineLevel="0" collapsed="false">
      <c r="A32" s="5" t="s">
        <v>1001</v>
      </c>
      <c r="B32" s="5" t="s">
        <v>1002</v>
      </c>
      <c r="C32" s="6" t="s">
        <v>166</v>
      </c>
      <c r="D32" s="5" t="s">
        <v>1003</v>
      </c>
      <c r="E32" s="5" t="s">
        <v>1004</v>
      </c>
      <c r="F32" s="5" t="s">
        <v>1005</v>
      </c>
    </row>
    <row r="33" customFormat="false" ht="32.25" hidden="false" customHeight="true" outlineLevel="0" collapsed="false">
      <c r="A33" s="5" t="s">
        <v>1001</v>
      </c>
      <c r="B33" s="5" t="s">
        <v>1006</v>
      </c>
      <c r="C33" s="6" t="s">
        <v>166</v>
      </c>
      <c r="D33" s="5" t="s">
        <v>1007</v>
      </c>
      <c r="E33" s="5" t="s">
        <v>771</v>
      </c>
      <c r="F33" s="5" t="s">
        <v>1008</v>
      </c>
    </row>
    <row r="34" customFormat="false" ht="32.25" hidden="false" customHeight="true" outlineLevel="0" collapsed="false">
      <c r="A34" s="5" t="s">
        <v>1001</v>
      </c>
      <c r="B34" s="5" t="s">
        <v>1009</v>
      </c>
      <c r="C34" s="6" t="s">
        <v>166</v>
      </c>
      <c r="D34" s="5" t="s">
        <v>1010</v>
      </c>
      <c r="E34" s="7" t="s">
        <v>1011</v>
      </c>
      <c r="F34" s="5" t="s">
        <v>1012</v>
      </c>
    </row>
    <row r="35" customFormat="false" ht="32.25" hidden="false" customHeight="true" outlineLevel="0" collapsed="false">
      <c r="A35" s="5" t="s">
        <v>1001</v>
      </c>
      <c r="B35" s="5" t="s">
        <v>1013</v>
      </c>
      <c r="C35" s="6" t="s">
        <v>166</v>
      </c>
      <c r="D35" s="5" t="s">
        <v>1014</v>
      </c>
      <c r="E35" s="7" t="s">
        <v>104</v>
      </c>
      <c r="F35" s="5" t="s">
        <v>1015</v>
      </c>
    </row>
    <row r="36" customFormat="false" ht="32.25" hidden="false" customHeight="true" outlineLevel="0" collapsed="false">
      <c r="A36" s="5" t="s">
        <v>1001</v>
      </c>
      <c r="B36" s="5" t="s">
        <v>1016</v>
      </c>
      <c r="C36" s="6" t="s">
        <v>166</v>
      </c>
      <c r="D36" s="5" t="s">
        <v>1017</v>
      </c>
      <c r="E36" s="7" t="s">
        <v>104</v>
      </c>
      <c r="F36" s="5" t="s">
        <v>1018</v>
      </c>
    </row>
    <row r="37" customFormat="false" ht="32.25" hidden="false" customHeight="true" outlineLevel="0" collapsed="false">
      <c r="A37" s="5" t="s">
        <v>1001</v>
      </c>
      <c r="B37" s="5" t="s">
        <v>1019</v>
      </c>
      <c r="C37" s="6" t="s">
        <v>166</v>
      </c>
      <c r="D37" s="5" t="s">
        <v>1020</v>
      </c>
      <c r="E37" s="5" t="s">
        <v>1021</v>
      </c>
      <c r="F37" s="5" t="s">
        <v>1022</v>
      </c>
    </row>
    <row r="38" customFormat="false" ht="32.25" hidden="false" customHeight="true" outlineLevel="0" collapsed="false">
      <c r="A38" s="5" t="s">
        <v>1001</v>
      </c>
      <c r="B38" s="5" t="s">
        <v>1023</v>
      </c>
      <c r="C38" s="6" t="s">
        <v>166</v>
      </c>
      <c r="D38" s="5" t="s">
        <v>1024</v>
      </c>
      <c r="E38" s="7" t="s">
        <v>104</v>
      </c>
      <c r="F38" s="5" t="s">
        <v>1025</v>
      </c>
    </row>
    <row r="39" customFormat="false" ht="32.25" hidden="false" customHeight="true" outlineLevel="0" collapsed="false">
      <c r="A39" s="5" t="s">
        <v>1001</v>
      </c>
      <c r="B39" s="5" t="s">
        <v>1026</v>
      </c>
      <c r="C39" s="6" t="s">
        <v>166</v>
      </c>
      <c r="D39" s="5" t="s">
        <v>1027</v>
      </c>
      <c r="E39" s="7" t="s">
        <v>104</v>
      </c>
      <c r="F39" s="5" t="s">
        <v>1025</v>
      </c>
    </row>
    <row r="40" customFormat="false" ht="32.25" hidden="false" customHeight="true" outlineLevel="0" collapsed="false">
      <c r="A40" s="5" t="s">
        <v>1001</v>
      </c>
      <c r="B40" s="5" t="s">
        <v>1028</v>
      </c>
      <c r="C40" s="6" t="s">
        <v>166</v>
      </c>
      <c r="D40" s="5" t="s">
        <v>1029</v>
      </c>
      <c r="E40" s="7" t="s">
        <v>104</v>
      </c>
      <c r="F40" s="5" t="s">
        <v>1030</v>
      </c>
    </row>
    <row r="41" customFormat="false" ht="32.25" hidden="false" customHeight="true" outlineLevel="0" collapsed="false">
      <c r="A41" s="40" t="s">
        <v>1001</v>
      </c>
      <c r="B41" s="40" t="s">
        <v>1031</v>
      </c>
      <c r="C41" s="41" t="s">
        <v>499</v>
      </c>
      <c r="D41" s="40" t="s">
        <v>1032</v>
      </c>
      <c r="E41" s="27" t="s">
        <v>104</v>
      </c>
      <c r="F41" s="40" t="s">
        <v>949</v>
      </c>
    </row>
    <row r="42" customFormat="false" ht="32.25" hidden="false" customHeight="true" outlineLevel="0" collapsed="false">
      <c r="A42" s="5" t="s">
        <v>1033</v>
      </c>
      <c r="B42" s="5" t="s">
        <v>1034</v>
      </c>
      <c r="C42" s="6" t="s">
        <v>166</v>
      </c>
      <c r="D42" s="5" t="s">
        <v>1035</v>
      </c>
      <c r="E42" s="5" t="s">
        <v>703</v>
      </c>
      <c r="F42" s="5" t="s">
        <v>1036</v>
      </c>
    </row>
    <row r="43" customFormat="false" ht="16.5" hidden="false" customHeight="true" outlineLevel="0" collapsed="false">
      <c r="A43" s="5" t="s">
        <v>1033</v>
      </c>
      <c r="B43" s="5" t="s">
        <v>1037</v>
      </c>
      <c r="C43" s="6" t="s">
        <v>166</v>
      </c>
      <c r="D43" s="5" t="s">
        <v>1038</v>
      </c>
      <c r="E43" s="7" t="s">
        <v>104</v>
      </c>
      <c r="F43" s="5" t="s">
        <v>949</v>
      </c>
    </row>
    <row r="44" customFormat="false" ht="16.5" hidden="false" customHeight="true" outlineLevel="0" collapsed="false">
      <c r="A44" s="5" t="s">
        <v>1033</v>
      </c>
      <c r="B44" s="5" t="s">
        <v>1039</v>
      </c>
      <c r="C44" s="6" t="s">
        <v>166</v>
      </c>
      <c r="D44" s="5" t="s">
        <v>1040</v>
      </c>
      <c r="E44" s="7" t="s">
        <v>104</v>
      </c>
      <c r="F44" s="5" t="s">
        <v>1041</v>
      </c>
    </row>
    <row r="45" customFormat="false" ht="16.5" hidden="false" customHeight="true" outlineLevel="0" collapsed="false">
      <c r="A45" s="5" t="s">
        <v>1033</v>
      </c>
      <c r="B45" s="5" t="s">
        <v>1042</v>
      </c>
      <c r="C45" s="6" t="s">
        <v>166</v>
      </c>
      <c r="D45" s="5" t="s">
        <v>1043</v>
      </c>
      <c r="E45" s="7" t="s">
        <v>104</v>
      </c>
      <c r="F45" s="5" t="s">
        <v>1044</v>
      </c>
    </row>
    <row r="46" customFormat="false" ht="16.5" hidden="false" customHeight="true" outlineLevel="0" collapsed="false">
      <c r="A46" s="5" t="s">
        <v>1033</v>
      </c>
      <c r="B46" s="5" t="s">
        <v>1045</v>
      </c>
      <c r="C46" s="6" t="s">
        <v>166</v>
      </c>
      <c r="D46" s="5" t="s">
        <v>1046</v>
      </c>
      <c r="E46" s="7" t="s">
        <v>104</v>
      </c>
      <c r="F46" s="5" t="s">
        <v>1047</v>
      </c>
    </row>
    <row r="47" customFormat="false" ht="16.5" hidden="false" customHeight="true" outlineLevel="0" collapsed="false">
      <c r="A47" s="40" t="s">
        <v>1033</v>
      </c>
      <c r="B47" s="40" t="s">
        <v>1048</v>
      </c>
      <c r="C47" s="41" t="s">
        <v>499</v>
      </c>
      <c r="D47" s="40" t="s">
        <v>1049</v>
      </c>
      <c r="E47" s="27" t="s">
        <v>104</v>
      </c>
      <c r="F47" s="40" t="s">
        <v>1041</v>
      </c>
    </row>
    <row r="48" customFormat="false" ht="16.5" hidden="false" customHeight="true" outlineLevel="0" collapsed="false">
      <c r="A48" s="5" t="s">
        <v>1050</v>
      </c>
      <c r="B48" s="5" t="s">
        <v>1051</v>
      </c>
      <c r="C48" s="6" t="s">
        <v>166</v>
      </c>
      <c r="D48" s="5" t="s">
        <v>1052</v>
      </c>
      <c r="E48" s="7" t="s">
        <v>104</v>
      </c>
      <c r="F48" s="5" t="s">
        <v>1053</v>
      </c>
    </row>
    <row r="49" customFormat="false" ht="16.5" hidden="false" customHeight="true" outlineLevel="0" collapsed="false">
      <c r="A49" s="5" t="s">
        <v>1050</v>
      </c>
      <c r="B49" s="5" t="s">
        <v>1054</v>
      </c>
      <c r="C49" s="6" t="s">
        <v>166</v>
      </c>
      <c r="D49" s="5" t="s">
        <v>1055</v>
      </c>
      <c r="E49" s="7" t="s">
        <v>104</v>
      </c>
      <c r="F49" s="5" t="s">
        <v>1056</v>
      </c>
    </row>
    <row r="50" customFormat="false" ht="16.5" hidden="false" customHeight="true" outlineLevel="0" collapsed="false">
      <c r="A50" s="5" t="s">
        <v>1050</v>
      </c>
      <c r="B50" s="5" t="s">
        <v>1057</v>
      </c>
      <c r="C50" s="6" t="s">
        <v>166</v>
      </c>
      <c r="D50" s="5" t="s">
        <v>1058</v>
      </c>
      <c r="E50" s="7" t="s">
        <v>104</v>
      </c>
      <c r="F50" s="5" t="s">
        <v>949</v>
      </c>
    </row>
    <row r="51" customFormat="false" ht="16.5" hidden="false" customHeight="true" outlineLevel="0" collapsed="false">
      <c r="A51" s="5" t="s">
        <v>1050</v>
      </c>
      <c r="B51" s="5" t="s">
        <v>1059</v>
      </c>
      <c r="C51" s="6" t="s">
        <v>166</v>
      </c>
      <c r="D51" s="7" t="s">
        <v>1060</v>
      </c>
      <c r="E51" s="7" t="s">
        <v>104</v>
      </c>
      <c r="F51" s="5" t="s">
        <v>1061</v>
      </c>
    </row>
    <row r="52" customFormat="false" ht="16.5" hidden="false" customHeight="true" outlineLevel="0" collapsed="false">
      <c r="A52" s="40" t="s">
        <v>1050</v>
      </c>
      <c r="B52" s="40" t="s">
        <v>1062</v>
      </c>
      <c r="C52" s="41" t="s">
        <v>499</v>
      </c>
      <c r="D52" s="40" t="s">
        <v>1063</v>
      </c>
      <c r="E52" s="27" t="s">
        <v>1064</v>
      </c>
      <c r="F52" s="40" t="s">
        <v>949</v>
      </c>
    </row>
    <row r="53" customFormat="false" ht="16.5" hidden="false" customHeight="true" outlineLevel="0" collapsed="false">
      <c r="A53" s="5" t="s">
        <v>1065</v>
      </c>
      <c r="B53" s="5" t="s">
        <v>1066</v>
      </c>
      <c r="C53" s="6" t="s">
        <v>166</v>
      </c>
      <c r="D53" s="5" t="s">
        <v>1067</v>
      </c>
      <c r="E53" s="7" t="s">
        <v>104</v>
      </c>
      <c r="F53" s="5" t="s">
        <v>1068</v>
      </c>
    </row>
    <row r="54" customFormat="false" ht="16.5" hidden="false" customHeight="true" outlineLevel="0" collapsed="false">
      <c r="A54" s="5" t="s">
        <v>1065</v>
      </c>
      <c r="B54" s="5" t="s">
        <v>1069</v>
      </c>
      <c r="C54" s="6" t="s">
        <v>166</v>
      </c>
      <c r="D54" s="5" t="s">
        <v>1070</v>
      </c>
      <c r="E54" s="7" t="s">
        <v>104</v>
      </c>
      <c r="F54" s="5" t="s">
        <v>949</v>
      </c>
    </row>
    <row r="55" customFormat="false" ht="16.5" hidden="false" customHeight="true" outlineLevel="0" collapsed="false">
      <c r="A55" s="5" t="s">
        <v>1065</v>
      </c>
      <c r="B55" s="5" t="s">
        <v>1071</v>
      </c>
      <c r="C55" s="6" t="s">
        <v>166</v>
      </c>
      <c r="D55" s="5" t="s">
        <v>1072</v>
      </c>
      <c r="E55" s="7" t="s">
        <v>104</v>
      </c>
      <c r="F55" s="5" t="s">
        <v>949</v>
      </c>
    </row>
    <row r="56" customFormat="false" ht="16.5" hidden="false" customHeight="true" outlineLevel="0" collapsed="false">
      <c r="A56" s="5" t="s">
        <v>1065</v>
      </c>
      <c r="B56" s="5" t="s">
        <v>1073</v>
      </c>
      <c r="C56" s="6" t="s">
        <v>166</v>
      </c>
      <c r="D56" s="5" t="s">
        <v>1074</v>
      </c>
      <c r="E56" s="7" t="s">
        <v>104</v>
      </c>
      <c r="F56" s="5" t="s">
        <v>949</v>
      </c>
    </row>
    <row r="57" customFormat="false" ht="16.5" hidden="false" customHeight="true" outlineLevel="0" collapsed="false">
      <c r="A57" s="5" t="s">
        <v>1065</v>
      </c>
      <c r="B57" s="5" t="s">
        <v>1075</v>
      </c>
      <c r="C57" s="6" t="s">
        <v>166</v>
      </c>
      <c r="D57" s="5" t="s">
        <v>1076</v>
      </c>
      <c r="E57" s="5" t="s">
        <v>771</v>
      </c>
      <c r="F57" s="5" t="s">
        <v>949</v>
      </c>
    </row>
    <row r="58" customFormat="false" ht="16.5" hidden="false" customHeight="true" outlineLevel="0" collapsed="false">
      <c r="A58" s="40" t="s">
        <v>1065</v>
      </c>
      <c r="B58" s="40" t="s">
        <v>1077</v>
      </c>
      <c r="C58" s="41" t="s">
        <v>499</v>
      </c>
      <c r="D58" s="40" t="s">
        <v>1078</v>
      </c>
      <c r="E58" s="27" t="s">
        <v>104</v>
      </c>
      <c r="F58" s="40" t="s">
        <v>1079</v>
      </c>
    </row>
    <row r="59" customFormat="false" ht="16.5" hidden="false" customHeight="true" outlineLevel="0" collapsed="false">
      <c r="A59" s="5" t="s">
        <v>1080</v>
      </c>
      <c r="B59" s="5" t="s">
        <v>1081</v>
      </c>
      <c r="C59" s="6" t="s">
        <v>166</v>
      </c>
      <c r="D59" s="5" t="s">
        <v>1082</v>
      </c>
      <c r="E59" s="5" t="s">
        <v>1083</v>
      </c>
      <c r="F59" s="5" t="s">
        <v>1084</v>
      </c>
    </row>
    <row r="60" customFormat="false" ht="16.5" hidden="false" customHeight="true" outlineLevel="0" collapsed="false">
      <c r="A60" s="5" t="s">
        <v>1080</v>
      </c>
      <c r="B60" s="5" t="s">
        <v>1085</v>
      </c>
      <c r="C60" s="6" t="s">
        <v>166</v>
      </c>
      <c r="D60" s="5" t="s">
        <v>1086</v>
      </c>
      <c r="E60" s="5" t="s">
        <v>699</v>
      </c>
      <c r="F60" s="5" t="s">
        <v>1025</v>
      </c>
    </row>
    <row r="61" customFormat="false" ht="16.5" hidden="false" customHeight="true" outlineLevel="0" collapsed="false">
      <c r="A61" s="5" t="s">
        <v>1080</v>
      </c>
      <c r="B61" s="5" t="s">
        <v>1087</v>
      </c>
      <c r="C61" s="6" t="s">
        <v>166</v>
      </c>
      <c r="D61" s="5" t="s">
        <v>1088</v>
      </c>
      <c r="E61" s="7" t="s">
        <v>1089</v>
      </c>
      <c r="F61" s="5" t="s">
        <v>949</v>
      </c>
    </row>
    <row r="62" customFormat="false" ht="32.25" hidden="false" customHeight="true" outlineLevel="0" collapsed="false">
      <c r="A62" s="5" t="s">
        <v>1080</v>
      </c>
      <c r="B62" s="5" t="s">
        <v>1090</v>
      </c>
      <c r="C62" s="6" t="s">
        <v>166</v>
      </c>
      <c r="D62" s="5" t="s">
        <v>792</v>
      </c>
      <c r="E62" s="5" t="s">
        <v>1091</v>
      </c>
      <c r="F62" s="5" t="s">
        <v>1015</v>
      </c>
    </row>
    <row r="63" customFormat="false" ht="32.25" hidden="false" customHeight="true" outlineLevel="0" collapsed="false">
      <c r="A63" s="40" t="s">
        <v>1080</v>
      </c>
      <c r="B63" s="40" t="s">
        <v>1092</v>
      </c>
      <c r="C63" s="41" t="s">
        <v>499</v>
      </c>
      <c r="D63" s="40" t="s">
        <v>1093</v>
      </c>
      <c r="E63" s="40" t="s">
        <v>1094</v>
      </c>
      <c r="F63" s="40" t="s">
        <v>1095</v>
      </c>
    </row>
    <row r="64" customFormat="false" ht="16.5" hidden="false" customHeight="true" outlineLevel="0" collapsed="false">
      <c r="A64" s="5" t="s">
        <v>37</v>
      </c>
      <c r="B64" s="5" t="s">
        <v>1096</v>
      </c>
      <c r="C64" s="6" t="s">
        <v>166</v>
      </c>
      <c r="D64" s="5" t="s">
        <v>514</v>
      </c>
      <c r="E64" s="7" t="s">
        <v>104</v>
      </c>
      <c r="F64" s="5" t="s">
        <v>949</v>
      </c>
    </row>
    <row r="65" customFormat="false" ht="16.5" hidden="false" customHeight="true" outlineLevel="0" collapsed="false">
      <c r="A65" s="5" t="s">
        <v>37</v>
      </c>
      <c r="B65" s="5" t="s">
        <v>1097</v>
      </c>
      <c r="C65" s="6" t="s">
        <v>166</v>
      </c>
      <c r="D65" s="5" t="s">
        <v>546</v>
      </c>
      <c r="E65" s="7" t="s">
        <v>104</v>
      </c>
      <c r="F65" s="5" t="s">
        <v>949</v>
      </c>
    </row>
    <row r="66" customFormat="false" ht="16.5" hidden="false" customHeight="true" outlineLevel="0" collapsed="false">
      <c r="A66" s="5" t="s">
        <v>37</v>
      </c>
      <c r="B66" s="5" t="s">
        <v>1098</v>
      </c>
      <c r="C66" s="6" t="s">
        <v>166</v>
      </c>
      <c r="D66" s="5" t="s">
        <v>794</v>
      </c>
      <c r="E66" s="7" t="s">
        <v>104</v>
      </c>
      <c r="F66" s="5" t="s">
        <v>949</v>
      </c>
    </row>
    <row r="67" customFormat="false" ht="16.5" hidden="false" customHeight="true" outlineLevel="0" collapsed="false">
      <c r="A67" s="5" t="s">
        <v>37</v>
      </c>
      <c r="B67" s="5" t="s">
        <v>1099</v>
      </c>
      <c r="C67" s="6" t="s">
        <v>166</v>
      </c>
      <c r="D67" s="5" t="s">
        <v>551</v>
      </c>
      <c r="E67" s="7" t="s">
        <v>104</v>
      </c>
      <c r="F67" s="5" t="s">
        <v>949</v>
      </c>
    </row>
    <row r="68" customFormat="false" ht="16.5" hidden="false" customHeight="true" outlineLevel="0" collapsed="false">
      <c r="A68" s="5" t="s">
        <v>37</v>
      </c>
      <c r="B68" s="5" t="s">
        <v>1100</v>
      </c>
      <c r="C68" s="6" t="s">
        <v>166</v>
      </c>
      <c r="D68" s="5" t="s">
        <v>516</v>
      </c>
      <c r="E68" s="7" t="s">
        <v>104</v>
      </c>
      <c r="F68" s="5" t="s">
        <v>949</v>
      </c>
    </row>
    <row r="69" customFormat="false" ht="16.5" hidden="false" customHeight="true" outlineLevel="0" collapsed="false">
      <c r="A69" s="5" t="s">
        <v>37</v>
      </c>
      <c r="B69" s="5" t="s">
        <v>1101</v>
      </c>
      <c r="C69" s="6" t="s">
        <v>166</v>
      </c>
      <c r="D69" s="5" t="s">
        <v>1102</v>
      </c>
      <c r="E69" s="7" t="s">
        <v>104</v>
      </c>
      <c r="F69" s="5" t="s">
        <v>949</v>
      </c>
    </row>
    <row r="70" customFormat="false" ht="16.5" hidden="false" customHeight="true" outlineLevel="0" collapsed="false">
      <c r="A70" s="5" t="s">
        <v>37</v>
      </c>
      <c r="B70" s="5" t="s">
        <v>1103</v>
      </c>
      <c r="C70" s="6" t="s">
        <v>166</v>
      </c>
      <c r="D70" s="5" t="s">
        <v>1104</v>
      </c>
      <c r="E70" s="7" t="s">
        <v>104</v>
      </c>
      <c r="F70" s="5" t="s">
        <v>949</v>
      </c>
    </row>
    <row r="72" customFormat="false" ht="15" hidden="false" customHeight="true" outlineLevel="0" collapsed="false">
      <c r="A72" s="42" t="s">
        <v>1105</v>
      </c>
      <c r="B72" s="43" t="n">
        <f aca="false">COUNTA(B5:B70)</f>
        <v>66</v>
      </c>
    </row>
    <row r="73" customFormat="false" ht="15" hidden="false" customHeight="true" outlineLevel="0" collapsed="false">
      <c r="A73" s="42" t="s">
        <v>1106</v>
      </c>
      <c r="B73" s="43" t="n">
        <f aca="false">COUNTIF(C5:C70,"レア")</f>
        <v>9</v>
      </c>
    </row>
  </sheetData>
  <autoFilter ref="A4:F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1107</v>
      </c>
    </row>
    <row r="2" customFormat="false" ht="15" hidden="false" customHeight="true" outlineLevel="0" collapsed="false">
      <c r="A2" s="3" t="s">
        <v>1108</v>
      </c>
    </row>
    <row r="4" customFormat="false" ht="16.5" hidden="false" customHeight="true" outlineLevel="0" collapsed="false">
      <c r="A4" s="4" t="s">
        <v>161</v>
      </c>
      <c r="B4" s="4" t="s">
        <v>859</v>
      </c>
      <c r="C4" s="4" t="s">
        <v>860</v>
      </c>
    </row>
    <row r="5" customFormat="false" ht="16.5" hidden="false" customHeight="true" outlineLevel="0" collapsed="false">
      <c r="A5" s="5" t="s">
        <v>1109</v>
      </c>
      <c r="B5" s="5" t="s">
        <v>876</v>
      </c>
      <c r="C5" s="5" t="s">
        <v>1110</v>
      </c>
    </row>
    <row r="6" customFormat="false" ht="16.5" hidden="false" customHeight="true" outlineLevel="0" collapsed="false">
      <c r="A6" s="5" t="s">
        <v>1109</v>
      </c>
      <c r="B6" s="5" t="s">
        <v>1111</v>
      </c>
      <c r="C6" s="5" t="s">
        <v>1112</v>
      </c>
    </row>
    <row r="7" customFormat="false" ht="16.5" hidden="false" customHeight="true" outlineLevel="0" collapsed="false">
      <c r="A7" s="5" t="s">
        <v>1109</v>
      </c>
      <c r="B7" s="5" t="s">
        <v>1113</v>
      </c>
      <c r="C7" s="5" t="s">
        <v>1114</v>
      </c>
    </row>
    <row r="8" customFormat="false" ht="16.5" hidden="false" customHeight="true" outlineLevel="0" collapsed="false">
      <c r="A8" s="5" t="s">
        <v>1109</v>
      </c>
      <c r="B8" s="5" t="s">
        <v>1115</v>
      </c>
      <c r="C8" s="5" t="s">
        <v>1116</v>
      </c>
    </row>
    <row r="9" customFormat="false" ht="32.25" hidden="false" customHeight="true" outlineLevel="0" collapsed="false">
      <c r="A9" s="5" t="s">
        <v>1117</v>
      </c>
      <c r="B9" s="5" t="s">
        <v>1118</v>
      </c>
      <c r="C9" s="7" t="s">
        <v>1119</v>
      </c>
    </row>
    <row r="10" customFormat="false" ht="32.25" hidden="false" customHeight="true" outlineLevel="0" collapsed="false">
      <c r="A10" s="5" t="s">
        <v>1117</v>
      </c>
      <c r="B10" s="5" t="s">
        <v>1120</v>
      </c>
      <c r="C10" s="5" t="s">
        <v>1121</v>
      </c>
    </row>
    <row r="11" customFormat="false" ht="16.5" hidden="false" customHeight="true" outlineLevel="0" collapsed="false">
      <c r="A11" s="5" t="s">
        <v>1122</v>
      </c>
      <c r="B11" s="5" t="s">
        <v>915</v>
      </c>
      <c r="C11" s="5" t="s">
        <v>1123</v>
      </c>
    </row>
    <row r="12" customFormat="false" ht="16.5" hidden="false" customHeight="true" outlineLevel="0" collapsed="false">
      <c r="A12" s="5" t="s">
        <v>1122</v>
      </c>
      <c r="B12" s="5" t="s">
        <v>936</v>
      </c>
      <c r="C12" s="7" t="s">
        <v>1124</v>
      </c>
    </row>
    <row r="13" customFormat="false" ht="16.5" hidden="false" customHeight="true" outlineLevel="0" collapsed="false">
      <c r="A13" s="5" t="s">
        <v>1122</v>
      </c>
      <c r="B13" s="5" t="s">
        <v>1125</v>
      </c>
      <c r="C13" s="5" t="s">
        <v>1126</v>
      </c>
    </row>
    <row r="14" customFormat="false" ht="16.5" hidden="false" customHeight="true" outlineLevel="0" collapsed="false">
      <c r="A14" s="5" t="s">
        <v>1122</v>
      </c>
      <c r="B14" s="5" t="s">
        <v>1127</v>
      </c>
      <c r="C14" s="5" t="s">
        <v>1128</v>
      </c>
    </row>
    <row r="15" customFormat="false" ht="16.5" hidden="false" customHeight="true" outlineLevel="0" collapsed="false">
      <c r="A15" s="5" t="s">
        <v>1122</v>
      </c>
      <c r="B15" s="5" t="s">
        <v>1129</v>
      </c>
      <c r="C15" s="5" t="s">
        <v>1130</v>
      </c>
    </row>
    <row r="16" customFormat="false" ht="16.5" hidden="false" customHeight="true" outlineLevel="0" collapsed="false">
      <c r="A16" s="5" t="s">
        <v>1131</v>
      </c>
      <c r="B16" s="5" t="s">
        <v>1132</v>
      </c>
      <c r="C16" s="5" t="s">
        <v>1133</v>
      </c>
    </row>
    <row r="17" customFormat="false" ht="32.25" hidden="false" customHeight="true" outlineLevel="0" collapsed="false">
      <c r="A17" s="5" t="s">
        <v>1065</v>
      </c>
      <c r="B17" s="5" t="s">
        <v>1134</v>
      </c>
      <c r="C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21" t="s">
        <v>1135</v>
      </c>
    </row>
    <row r="2" customFormat="false" ht="15" hidden="false" customHeight="false" outlineLevel="0" collapsed="false">
      <c r="A2" s="22" t="s">
        <v>1136</v>
      </c>
    </row>
    <row r="4" customFormat="false" ht="48.5" hidden="false" customHeight="false" outlineLevel="0" collapsed="false">
      <c r="A4" s="23" t="s">
        <v>2</v>
      </c>
      <c r="B4" s="23" t="s">
        <v>162</v>
      </c>
      <c r="C4" s="23" t="s">
        <v>480</v>
      </c>
      <c r="D4" s="23" t="s">
        <v>481</v>
      </c>
      <c r="E4" s="23" t="s">
        <v>861</v>
      </c>
      <c r="F4" s="23" t="s">
        <v>1137</v>
      </c>
    </row>
    <row r="5" customFormat="false" ht="17.15" hidden="false" customHeight="false" outlineLevel="0" collapsed="false">
      <c r="A5" s="7" t="s">
        <v>866</v>
      </c>
      <c r="B5" s="18" t="s">
        <v>1138</v>
      </c>
      <c r="C5" s="19" t="s">
        <v>166</v>
      </c>
      <c r="D5" s="19" t="s">
        <v>525</v>
      </c>
      <c r="E5" s="7" t="s">
        <v>518</v>
      </c>
      <c r="F5" s="19" t="s">
        <v>1139</v>
      </c>
    </row>
    <row r="6" customFormat="false" ht="17.15" hidden="false" customHeight="false" outlineLevel="0" collapsed="false">
      <c r="A6" s="7" t="s">
        <v>866</v>
      </c>
      <c r="B6" s="18" t="s">
        <v>775</v>
      </c>
      <c r="C6" s="19" t="s">
        <v>166</v>
      </c>
      <c r="D6" s="19" t="s">
        <v>525</v>
      </c>
      <c r="E6" s="7" t="s">
        <v>608</v>
      </c>
      <c r="F6" s="19" t="s">
        <v>1140</v>
      </c>
    </row>
    <row r="7" customFormat="false" ht="17.15" hidden="false" customHeight="false" outlineLevel="0" collapsed="false">
      <c r="A7" s="7" t="s">
        <v>866</v>
      </c>
      <c r="B7" s="18" t="s">
        <v>1141</v>
      </c>
      <c r="C7" s="19" t="s">
        <v>166</v>
      </c>
      <c r="D7" s="19" t="s">
        <v>525</v>
      </c>
      <c r="E7" s="7" t="s">
        <v>611</v>
      </c>
      <c r="F7" s="19" t="s">
        <v>1142</v>
      </c>
    </row>
    <row r="8" customFormat="false" ht="17.15" hidden="false" customHeight="false" outlineLevel="0" collapsed="false">
      <c r="A8" s="7" t="s">
        <v>866</v>
      </c>
      <c r="B8" s="18" t="s">
        <v>1143</v>
      </c>
      <c r="C8" s="19" t="s">
        <v>166</v>
      </c>
      <c r="D8" s="19" t="s">
        <v>533</v>
      </c>
      <c r="E8" s="7" t="s">
        <v>518</v>
      </c>
      <c r="F8" s="19" t="s">
        <v>1142</v>
      </c>
    </row>
    <row r="9" customFormat="false" ht="17.15" hidden="false" customHeight="false" outlineLevel="0" collapsed="false">
      <c r="A9" s="7" t="s">
        <v>868</v>
      </c>
      <c r="B9" s="18" t="s">
        <v>1144</v>
      </c>
      <c r="C9" s="19" t="s">
        <v>166</v>
      </c>
      <c r="D9" s="19" t="s">
        <v>525</v>
      </c>
      <c r="E9" s="7" t="s">
        <v>675</v>
      </c>
      <c r="F9" s="19" t="s">
        <v>1140</v>
      </c>
    </row>
    <row r="10" customFormat="false" ht="17.15" hidden="false" customHeight="false" outlineLevel="0" collapsed="false">
      <c r="A10" s="7" t="s">
        <v>868</v>
      </c>
      <c r="B10" s="18" t="s">
        <v>1145</v>
      </c>
      <c r="C10" s="19" t="s">
        <v>166</v>
      </c>
      <c r="D10" s="19" t="s">
        <v>525</v>
      </c>
      <c r="E10" s="7" t="s">
        <v>1146</v>
      </c>
      <c r="F10" s="19" t="s">
        <v>1142</v>
      </c>
    </row>
    <row r="11" customFormat="false" ht="17.15" hidden="false" customHeight="false" outlineLevel="0" collapsed="false">
      <c r="A11" s="18" t="s">
        <v>612</v>
      </c>
      <c r="B11" s="18" t="s">
        <v>1147</v>
      </c>
      <c r="C11" s="19" t="s">
        <v>166</v>
      </c>
      <c r="D11" s="19" t="s">
        <v>525</v>
      </c>
      <c r="E11" s="18" t="s">
        <v>1148</v>
      </c>
      <c r="F11" s="19" t="s">
        <v>1142</v>
      </c>
    </row>
    <row r="12" customFormat="false" ht="17.15" hidden="false" customHeight="false" outlineLevel="0" collapsed="false">
      <c r="A12" s="26" t="s">
        <v>612</v>
      </c>
      <c r="B12" s="26" t="s">
        <v>1149</v>
      </c>
      <c r="C12" s="25" t="s">
        <v>499</v>
      </c>
      <c r="D12" s="25" t="s">
        <v>525</v>
      </c>
      <c r="E12" s="26" t="s">
        <v>1150</v>
      </c>
      <c r="F12" s="25" t="s">
        <v>1151</v>
      </c>
    </row>
    <row r="13" customFormat="false" ht="17.15" hidden="false" customHeight="false" outlineLevel="0" collapsed="false">
      <c r="A13" s="18" t="s">
        <v>78</v>
      </c>
      <c r="B13" s="18" t="s">
        <v>1152</v>
      </c>
      <c r="C13" s="19" t="s">
        <v>166</v>
      </c>
      <c r="D13" s="19" t="s">
        <v>525</v>
      </c>
      <c r="E13" s="18" t="s">
        <v>1153</v>
      </c>
      <c r="F13" s="19" t="s">
        <v>1139</v>
      </c>
    </row>
    <row r="14" customFormat="false" ht="17.15" hidden="false" customHeight="false" outlineLevel="0" collapsed="false">
      <c r="A14" s="18" t="s">
        <v>78</v>
      </c>
      <c r="B14" s="18" t="s">
        <v>1154</v>
      </c>
      <c r="C14" s="19" t="s">
        <v>166</v>
      </c>
      <c r="D14" s="19" t="s">
        <v>525</v>
      </c>
      <c r="E14" s="18" t="s">
        <v>1155</v>
      </c>
      <c r="F14" s="19" t="s">
        <v>1139</v>
      </c>
    </row>
    <row r="15" customFormat="false" ht="17.15" hidden="false" customHeight="false" outlineLevel="0" collapsed="false">
      <c r="A15" s="18" t="s">
        <v>78</v>
      </c>
      <c r="B15" s="18" t="s">
        <v>1156</v>
      </c>
      <c r="C15" s="19" t="s">
        <v>166</v>
      </c>
      <c r="D15" s="19" t="s">
        <v>525</v>
      </c>
      <c r="E15" s="18" t="s">
        <v>1157</v>
      </c>
      <c r="F15" s="19" t="s">
        <v>1139</v>
      </c>
    </row>
    <row r="16" customFormat="false" ht="17.15" hidden="false" customHeight="false" outlineLevel="0" collapsed="false">
      <c r="A16" s="18" t="s">
        <v>78</v>
      </c>
      <c r="B16" s="18" t="s">
        <v>1158</v>
      </c>
      <c r="C16" s="19" t="s">
        <v>166</v>
      </c>
      <c r="D16" s="19" t="s">
        <v>525</v>
      </c>
      <c r="E16" s="18" t="s">
        <v>1159</v>
      </c>
      <c r="F16" s="19" t="s">
        <v>1140</v>
      </c>
    </row>
    <row r="17" customFormat="false" ht="17.15" hidden="false" customHeight="false" outlineLevel="0" collapsed="false">
      <c r="A17" s="26" t="s">
        <v>1160</v>
      </c>
      <c r="B17" s="26" t="s">
        <v>1161</v>
      </c>
      <c r="C17" s="25" t="s">
        <v>499</v>
      </c>
      <c r="D17" s="25" t="s">
        <v>525</v>
      </c>
      <c r="E17" s="27" t="s">
        <v>1162</v>
      </c>
      <c r="F17" s="25" t="s">
        <v>1151</v>
      </c>
    </row>
    <row r="18" customFormat="false" ht="17.15" hidden="false" customHeight="false" outlineLevel="0" collapsed="false">
      <c r="A18" s="18" t="s">
        <v>1163</v>
      </c>
      <c r="B18" s="18" t="s">
        <v>1164</v>
      </c>
      <c r="C18" s="19" t="s">
        <v>166</v>
      </c>
      <c r="D18" s="19" t="s">
        <v>485</v>
      </c>
      <c r="E18" s="18" t="s">
        <v>1165</v>
      </c>
      <c r="F18" s="19" t="s">
        <v>1140</v>
      </c>
    </row>
    <row r="19" customFormat="false" ht="17.15" hidden="false" customHeight="false" outlineLevel="0" collapsed="false">
      <c r="A19" s="18" t="s">
        <v>1163</v>
      </c>
      <c r="B19" s="18" t="s">
        <v>1166</v>
      </c>
      <c r="C19" s="19" t="s">
        <v>166</v>
      </c>
      <c r="D19" s="19" t="s">
        <v>485</v>
      </c>
      <c r="E19" s="18" t="s">
        <v>688</v>
      </c>
      <c r="F19" s="19" t="s">
        <v>1139</v>
      </c>
    </row>
    <row r="20" customFormat="false" ht="17.15" hidden="false" customHeight="false" outlineLevel="0" collapsed="false">
      <c r="A20" s="18" t="s">
        <v>1163</v>
      </c>
      <c r="B20" s="18" t="s">
        <v>1167</v>
      </c>
      <c r="C20" s="19" t="s">
        <v>166</v>
      </c>
      <c r="D20" s="19" t="s">
        <v>557</v>
      </c>
      <c r="E20" s="18" t="s">
        <v>1168</v>
      </c>
      <c r="F20" s="19" t="s">
        <v>1140</v>
      </c>
    </row>
    <row r="21" customFormat="false" ht="17.15" hidden="false" customHeight="false" outlineLevel="0" collapsed="false">
      <c r="A21" s="18" t="s">
        <v>1163</v>
      </c>
      <c r="B21" s="18" t="s">
        <v>1169</v>
      </c>
      <c r="C21" s="19" t="s">
        <v>166</v>
      </c>
      <c r="D21" s="19" t="s">
        <v>557</v>
      </c>
      <c r="E21" s="18" t="s">
        <v>807</v>
      </c>
      <c r="F21" s="19" t="s">
        <v>1140</v>
      </c>
    </row>
    <row r="22" customFormat="false" ht="17.15" hidden="false" customHeight="false" outlineLevel="0" collapsed="false">
      <c r="A22" s="18" t="s">
        <v>1163</v>
      </c>
      <c r="B22" s="18" t="s">
        <v>1170</v>
      </c>
      <c r="C22" s="19" t="s">
        <v>166</v>
      </c>
      <c r="D22" s="19" t="s">
        <v>485</v>
      </c>
      <c r="E22" s="18" t="s">
        <v>711</v>
      </c>
      <c r="F22" s="19" t="s">
        <v>1140</v>
      </c>
    </row>
    <row r="23" customFormat="false" ht="17.15" hidden="false" customHeight="false" outlineLevel="0" collapsed="false">
      <c r="A23" s="18" t="s">
        <v>1171</v>
      </c>
      <c r="B23" s="18" t="s">
        <v>1172</v>
      </c>
      <c r="C23" s="19" t="s">
        <v>166</v>
      </c>
      <c r="D23" s="19" t="s">
        <v>525</v>
      </c>
      <c r="E23" s="18" t="s">
        <v>1173</v>
      </c>
      <c r="F23" s="19" t="s">
        <v>1140</v>
      </c>
    </row>
    <row r="24" customFormat="false" ht="17.15" hidden="false" customHeight="false" outlineLevel="0" collapsed="false">
      <c r="A24" s="18" t="s">
        <v>1171</v>
      </c>
      <c r="B24" s="18" t="s">
        <v>1174</v>
      </c>
      <c r="C24" s="19" t="s">
        <v>166</v>
      </c>
      <c r="D24" s="19" t="s">
        <v>525</v>
      </c>
      <c r="E24" s="18" t="s">
        <v>1175</v>
      </c>
      <c r="F24" s="19" t="s">
        <v>1140</v>
      </c>
    </row>
    <row r="25" customFormat="false" ht="17.15" hidden="false" customHeight="false" outlineLevel="0" collapsed="false">
      <c r="A25" s="18" t="s">
        <v>1171</v>
      </c>
      <c r="B25" s="18" t="s">
        <v>1176</v>
      </c>
      <c r="C25" s="19" t="s">
        <v>166</v>
      </c>
      <c r="D25" s="19" t="s">
        <v>525</v>
      </c>
      <c r="E25" s="18" t="s">
        <v>1177</v>
      </c>
      <c r="F25" s="19" t="s">
        <v>1140</v>
      </c>
    </row>
    <row r="26" customFormat="false" ht="17.15" hidden="false" customHeight="false" outlineLevel="0" collapsed="false">
      <c r="A26" s="26" t="s">
        <v>1171</v>
      </c>
      <c r="B26" s="26" t="s">
        <v>1178</v>
      </c>
      <c r="C26" s="25" t="s">
        <v>499</v>
      </c>
      <c r="D26" s="25" t="s">
        <v>533</v>
      </c>
      <c r="E26" s="26" t="s">
        <v>1179</v>
      </c>
      <c r="F26" s="25" t="s">
        <v>1151</v>
      </c>
    </row>
    <row r="27" customFormat="false" ht="32.8" hidden="false" customHeight="false" outlineLevel="0" collapsed="false">
      <c r="A27" s="18" t="s">
        <v>1180</v>
      </c>
      <c r="B27" s="18" t="s">
        <v>1181</v>
      </c>
      <c r="C27" s="19" t="s">
        <v>166</v>
      </c>
      <c r="D27" s="20" t="s">
        <v>104</v>
      </c>
      <c r="E27" s="18" t="s">
        <v>1182</v>
      </c>
      <c r="F27" s="19" t="s">
        <v>1140</v>
      </c>
    </row>
    <row r="28" customFormat="false" ht="17.15" hidden="false" customHeight="false" outlineLevel="0" collapsed="false">
      <c r="A28" s="18" t="s">
        <v>1180</v>
      </c>
      <c r="B28" s="18" t="s">
        <v>1183</v>
      </c>
      <c r="C28" s="19" t="s">
        <v>166</v>
      </c>
      <c r="D28" s="19" t="s">
        <v>533</v>
      </c>
      <c r="E28" s="18" t="s">
        <v>1184</v>
      </c>
      <c r="F28" s="19" t="s">
        <v>1142</v>
      </c>
    </row>
    <row r="29" customFormat="false" ht="17.15" hidden="false" customHeight="false" outlineLevel="0" collapsed="false">
      <c r="A29" s="26" t="s">
        <v>1180</v>
      </c>
      <c r="B29" s="26" t="s">
        <v>1185</v>
      </c>
      <c r="C29" s="25" t="s">
        <v>499</v>
      </c>
      <c r="D29" s="25" t="s">
        <v>525</v>
      </c>
      <c r="E29" s="26" t="s">
        <v>1186</v>
      </c>
      <c r="F29" s="25" t="s">
        <v>1151</v>
      </c>
    </row>
  </sheetData>
  <autoFilter ref="A4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1187</v>
      </c>
    </row>
    <row r="3" customFormat="false" ht="16.5" hidden="false" customHeight="true" outlineLevel="0" collapsed="false">
      <c r="A3" s="4" t="s">
        <v>1188</v>
      </c>
      <c r="B3" s="4" t="s">
        <v>3</v>
      </c>
    </row>
    <row r="4" customFormat="false" ht="32.25" hidden="false" customHeight="true" outlineLevel="0" collapsed="false">
      <c r="A4" s="5" t="s">
        <v>1189</v>
      </c>
      <c r="B4" s="5" t="s">
        <v>1190</v>
      </c>
    </row>
    <row r="5" customFormat="false" ht="32.25" hidden="false" customHeight="true" outlineLevel="0" collapsed="false">
      <c r="A5" s="5" t="s">
        <v>1191</v>
      </c>
      <c r="B5" s="5" t="s">
        <v>1192</v>
      </c>
    </row>
    <row r="6" customFormat="false" ht="32.25" hidden="false" customHeight="true" outlineLevel="0" collapsed="false">
      <c r="A6" s="5" t="s">
        <v>1193</v>
      </c>
      <c r="B6" s="5" t="s">
        <v>1194</v>
      </c>
    </row>
    <row r="7" customFormat="false" ht="16.5" hidden="false" customHeight="true" outlineLevel="0" collapsed="false">
      <c r="A7" s="5" t="s">
        <v>1195</v>
      </c>
      <c r="B7" s="5" t="s">
        <v>1196</v>
      </c>
    </row>
    <row r="8" customFormat="false" ht="32.25" hidden="false" customHeight="true" outlineLevel="0" collapsed="false">
      <c r="A8" s="5" t="s">
        <v>1197</v>
      </c>
      <c r="B8" s="5" t="s">
        <v>1198</v>
      </c>
    </row>
    <row r="9" customFormat="false" ht="32.25" hidden="false" customHeight="true" outlineLevel="0" collapsed="false">
      <c r="A9" s="5" t="s">
        <v>1199</v>
      </c>
      <c r="B9" s="5" t="s">
        <v>1200</v>
      </c>
    </row>
    <row r="10" customFormat="false" ht="16.5" hidden="false" customHeight="true" outlineLevel="0" collapsed="false">
      <c r="A10" s="5" t="s">
        <v>1201</v>
      </c>
      <c r="B10" s="5" t="s">
        <v>1202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1203</v>
      </c>
    </row>
    <row r="3" customFormat="false" ht="16.5" hidden="false" customHeight="true" outlineLevel="0" collapsed="false">
      <c r="A3" s="4" t="s">
        <v>1204</v>
      </c>
      <c r="B3" s="4" t="s">
        <v>1205</v>
      </c>
    </row>
    <row r="4" customFormat="false" ht="16.5" hidden="false" customHeight="true" outlineLevel="0" collapsed="false">
      <c r="A4" s="5" t="s">
        <v>1206</v>
      </c>
      <c r="B4" s="5" t="s">
        <v>1207</v>
      </c>
    </row>
    <row r="5" customFormat="false" ht="16.5" hidden="false" customHeight="true" outlineLevel="0" collapsed="false">
      <c r="A5" s="5" t="s">
        <v>1208</v>
      </c>
      <c r="B5" s="5" t="s">
        <v>1209</v>
      </c>
    </row>
    <row r="6" customFormat="false" ht="16.5" hidden="false" customHeight="true" outlineLevel="0" collapsed="false">
      <c r="A6" s="5" t="s">
        <v>1210</v>
      </c>
      <c r="B6" s="5" t="s">
        <v>1211</v>
      </c>
    </row>
    <row r="7" customFormat="false" ht="16.5" hidden="false" customHeight="true" outlineLevel="0" collapsed="false">
      <c r="A7" s="5" t="s">
        <v>1212</v>
      </c>
      <c r="B7" s="7" t="s">
        <v>1213</v>
      </c>
    </row>
    <row r="8" customFormat="false" ht="16.5" hidden="false" customHeight="true" outlineLevel="0" collapsed="false">
      <c r="A8" s="5" t="s">
        <v>1214</v>
      </c>
      <c r="B8" s="5" t="s">
        <v>1215</v>
      </c>
    </row>
    <row r="9" customFormat="false" ht="16.5" hidden="false" customHeight="true" outlineLevel="0" collapsed="false">
      <c r="A9" s="5" t="s">
        <v>1216</v>
      </c>
      <c r="B9" s="5" t="s">
        <v>1217</v>
      </c>
    </row>
    <row r="10" customFormat="false" ht="32.25" hidden="false" customHeight="true" outlineLevel="0" collapsed="false">
      <c r="A10" s="5" t="s">
        <v>335</v>
      </c>
      <c r="B10" s="5" t="s">
        <v>1218</v>
      </c>
    </row>
    <row r="11" customFormat="false" ht="16.5" hidden="false" customHeight="true" outlineLevel="0" collapsed="false">
      <c r="A11" s="5" t="s">
        <v>355</v>
      </c>
      <c r="B11" s="5" t="s">
        <v>1219</v>
      </c>
    </row>
    <row r="12" customFormat="false" ht="16.5" hidden="false" customHeight="true" outlineLevel="0" collapsed="false">
      <c r="A12" s="5" t="s">
        <v>348</v>
      </c>
      <c r="B12" s="5" t="s">
        <v>1220</v>
      </c>
    </row>
    <row r="13" customFormat="false" ht="16.5" hidden="false" customHeight="true" outlineLevel="0" collapsed="false">
      <c r="A13" s="5" t="s">
        <v>363</v>
      </c>
      <c r="B13" s="5" t="s">
        <v>1221</v>
      </c>
    </row>
    <row r="14" customFormat="false" ht="32.25" hidden="false" customHeight="true" outlineLevel="0" collapsed="false">
      <c r="A14" s="5" t="s">
        <v>1222</v>
      </c>
      <c r="B14" s="5" t="s">
        <v>1223</v>
      </c>
    </row>
    <row r="15" customFormat="false" ht="16.5" hidden="false" customHeight="true" outlineLevel="0" collapsed="false">
      <c r="A15" s="5" t="s">
        <v>1224</v>
      </c>
      <c r="B15" s="5" t="s">
        <v>1225</v>
      </c>
    </row>
    <row r="16" customFormat="false" ht="16.5" hidden="false" customHeight="true" outlineLevel="0" collapsed="false">
      <c r="A16" s="5" t="s">
        <v>1226</v>
      </c>
      <c r="B16" s="5" t="s">
        <v>1227</v>
      </c>
    </row>
    <row r="17" customFormat="false" ht="16.5" hidden="false" customHeight="true" outlineLevel="0" collapsed="false">
      <c r="A17" s="5" t="s">
        <v>480</v>
      </c>
      <c r="B17" s="5" t="s">
        <v>1228</v>
      </c>
    </row>
    <row r="18" customFormat="false" ht="16.5" hidden="false" customHeight="true" outlineLevel="0" collapsed="false">
      <c r="A18" s="5" t="s">
        <v>1195</v>
      </c>
      <c r="B18" s="7" t="s">
        <v>1229</v>
      </c>
    </row>
    <row r="19" customFormat="false" ht="16.5" hidden="false" customHeight="true" outlineLevel="0" collapsed="false">
      <c r="A19" s="5" t="s">
        <v>315</v>
      </c>
      <c r="B19" s="5" t="s">
        <v>1230</v>
      </c>
    </row>
    <row r="20" customFormat="false" ht="16.5" hidden="false" customHeight="true" outlineLevel="0" collapsed="false">
      <c r="A20" s="5" t="s">
        <v>81</v>
      </c>
      <c r="B20" s="5" t="s">
        <v>1231</v>
      </c>
    </row>
    <row r="21" customFormat="false" ht="16.5" hidden="false" customHeight="true" outlineLevel="0" collapsed="false">
      <c r="A21" s="5" t="s">
        <v>1232</v>
      </c>
      <c r="B21" s="5" t="s">
        <v>1233</v>
      </c>
    </row>
    <row r="22" customFormat="false" ht="16.5" hidden="false" customHeight="true" outlineLevel="0" collapsed="false">
      <c r="A22" s="5" t="s">
        <v>1234</v>
      </c>
      <c r="B22" s="5" t="s">
        <v>1235</v>
      </c>
    </row>
    <row r="23" customFormat="false" ht="16.5" hidden="false" customHeight="true" outlineLevel="0" collapsed="false">
      <c r="A23" s="5" t="s">
        <v>1236</v>
      </c>
      <c r="B23" s="5" t="s">
        <v>1237</v>
      </c>
    </row>
    <row r="24" customFormat="false" ht="16.5" hidden="false" customHeight="true" outlineLevel="0" collapsed="false">
      <c r="A24" s="5" t="s">
        <v>1238</v>
      </c>
      <c r="B24" s="5" t="s">
        <v>1239</v>
      </c>
    </row>
    <row r="25" customFormat="false" ht="32.25" hidden="false" customHeight="true" outlineLevel="0" collapsed="false">
      <c r="A25" s="5" t="s">
        <v>1240</v>
      </c>
      <c r="B25" s="5" t="s">
        <v>1241</v>
      </c>
    </row>
    <row r="26" customFormat="false" ht="16.5" hidden="false" customHeight="true" outlineLevel="0" collapsed="false">
      <c r="A26" s="5" t="s">
        <v>1242</v>
      </c>
      <c r="B26" s="5" t="s">
        <v>1243</v>
      </c>
    </row>
    <row r="27" customFormat="false" ht="16.5" hidden="false" customHeight="true" outlineLevel="0" collapsed="false">
      <c r="A27" s="5" t="s">
        <v>78</v>
      </c>
      <c r="B27" s="5" t="s">
        <v>1244</v>
      </c>
    </row>
    <row r="28" customFormat="false" ht="16.5" hidden="false" customHeight="true" outlineLevel="0" collapsed="false">
      <c r="A28" s="5" t="s">
        <v>913</v>
      </c>
      <c r="B28" s="5" t="s">
        <v>1245</v>
      </c>
    </row>
    <row r="29" customFormat="false" ht="17.15" hidden="false" customHeight="false" outlineLevel="0" collapsed="false">
      <c r="A29" s="18" t="s">
        <v>1246</v>
      </c>
      <c r="B29" s="18" t="s">
        <v>1247</v>
      </c>
    </row>
    <row r="30" customFormat="false" ht="17.15" hidden="false" customHeight="false" outlineLevel="0" collapsed="false">
      <c r="A30" s="18" t="s">
        <v>1248</v>
      </c>
      <c r="B30" s="18" t="s">
        <v>1249</v>
      </c>
    </row>
    <row r="31" customFormat="false" ht="17.15" hidden="false" customHeight="false" outlineLevel="0" collapsed="false">
      <c r="A31" s="18" t="s">
        <v>1250</v>
      </c>
      <c r="B31" s="18" t="s">
        <v>1251</v>
      </c>
    </row>
    <row r="32" customFormat="false" ht="17.15" hidden="false" customHeight="false" outlineLevel="0" collapsed="false">
      <c r="A32" s="18" t="s">
        <v>1252</v>
      </c>
      <c r="B32" s="18" t="s">
        <v>1253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2026-10-08T06:10:06Z</dcterms:created>
  <dc:creator>openpyxl</dc:creator>
  <dc:description/>
  <dc:language>en-US</dc:language>
  <cp:lastModifiedBy/>
  <dcterms:modified xsi:type="dcterms:W3CDTF">2026-10-08T07:47:14Z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